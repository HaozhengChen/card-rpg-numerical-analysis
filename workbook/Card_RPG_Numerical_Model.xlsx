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9d75dace24f7e1/Documents/"/>
    </mc:Choice>
  </mc:AlternateContent>
  <xr:revisionPtr revIDLastSave="5" documentId="8_{D58BED24-1F69-415D-B06F-E2EA8AB98D0A}" xr6:coauthVersionLast="47" xr6:coauthVersionMax="47" xr10:uidLastSave="{E2C7B879-C879-4AD7-B90D-C3CCD892CFA5}"/>
  <bookViews>
    <workbookView xWindow="-105" yWindow="0" windowWidth="19410" windowHeight="20985" firstSheet="9" activeTab="11" xr2:uid="{91DF5515-3367-49BC-8DF3-1F657898058C}"/>
  </bookViews>
  <sheets>
    <sheet name="01_Characters" sheetId="1" r:id="rId1"/>
    <sheet name="02_Growth_Curve" sheetId="2" r:id="rId2"/>
    <sheet name="03_Breakthrough" sheetId="3" r:id="rId3"/>
    <sheet name="04_Star_System" sheetId="4" r:id="rId4"/>
    <sheet name="05_Skills" sheetId="5" r:id="rId5"/>
    <sheet name="06_Combat_Calculator" sheetId="6" r:id="rId6"/>
    <sheet name="07_Resource_Cost" sheetId="7" r:id="rId7"/>
    <sheet name="08_Team_Evaluation" sheetId="8" r:id="rId8"/>
    <sheet name="09_Risk_Checklist" sheetId="9" r:id="rId9"/>
    <sheet name="10_Character_Stats" sheetId="10" r:id="rId10"/>
    <sheet name="11_Damage_Test" sheetId="11" r:id="rId11"/>
    <sheet name="12_Resource_Dashboard" sheetId="12" r:id="rId12"/>
    <sheet name="13_Charts_Index" sheetId="13" r:id="rId13"/>
    <sheet name="14_Charts_Workspace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14" l="1"/>
  <c r="C29" i="14"/>
  <c r="D29" i="14"/>
  <c r="B30" i="14"/>
  <c r="C30" i="14"/>
  <c r="D30" i="14"/>
  <c r="B31" i="14"/>
  <c r="C31" i="14"/>
  <c r="D31" i="14"/>
  <c r="B32" i="14"/>
  <c r="C32" i="14"/>
  <c r="D32" i="14"/>
  <c r="B33" i="14"/>
  <c r="C33" i="14"/>
  <c r="D33" i="14"/>
  <c r="B34" i="14"/>
  <c r="C34" i="14"/>
  <c r="D34" i="14"/>
  <c r="B35" i="14"/>
  <c r="C35" i="14"/>
  <c r="D35" i="14"/>
  <c r="B36" i="14"/>
  <c r="C36" i="14"/>
  <c r="D36" i="14"/>
  <c r="B37" i="14"/>
  <c r="C37" i="14"/>
  <c r="D37" i="14"/>
  <c r="B38" i="14"/>
  <c r="C38" i="14"/>
  <c r="D38" i="14"/>
  <c r="B28" i="14"/>
  <c r="C28" i="14"/>
  <c r="D28" i="14"/>
  <c r="B14" i="14"/>
  <c r="B15" i="14"/>
  <c r="B16" i="14"/>
  <c r="B17" i="14"/>
  <c r="B18" i="14"/>
  <c r="B19" i="14"/>
  <c r="B20" i="14"/>
  <c r="B21" i="14"/>
  <c r="B22" i="14"/>
  <c r="B23" i="14"/>
  <c r="B24" i="14"/>
  <c r="B13" i="14"/>
  <c r="F2" i="14"/>
  <c r="G2" i="14"/>
  <c r="H2" i="14"/>
  <c r="I2" i="14"/>
  <c r="J2" i="14"/>
  <c r="F3" i="14"/>
  <c r="G3" i="14"/>
  <c r="H3" i="14"/>
  <c r="J3" i="14" s="1"/>
  <c r="I3" i="14"/>
  <c r="F4" i="14"/>
  <c r="G4" i="14"/>
  <c r="H4" i="14"/>
  <c r="I4" i="14"/>
  <c r="J4" i="14"/>
  <c r="F5" i="14"/>
  <c r="J5" i="14" s="1"/>
  <c r="G5" i="14"/>
  <c r="H5" i="14"/>
  <c r="I5" i="14"/>
  <c r="F6" i="14"/>
  <c r="G6" i="14"/>
  <c r="H6" i="14"/>
  <c r="I6" i="14"/>
  <c r="J6" i="14"/>
  <c r="F7" i="14"/>
  <c r="G7" i="14"/>
  <c r="H7" i="14"/>
  <c r="I7" i="14"/>
  <c r="J7" i="14"/>
  <c r="B2" i="2"/>
  <c r="D2" i="2"/>
  <c r="E2" i="2"/>
  <c r="B3" i="2"/>
  <c r="D3" i="2"/>
  <c r="E3" i="2"/>
  <c r="B4" i="2"/>
  <c r="D4" i="2"/>
  <c r="E4" i="2"/>
  <c r="B5" i="2"/>
  <c r="D5" i="2"/>
  <c r="E5" i="2"/>
  <c r="B6" i="2"/>
  <c r="D6" i="2"/>
  <c r="E6" i="2"/>
  <c r="B7" i="2"/>
  <c r="D7" i="2"/>
  <c r="E7" i="2"/>
  <c r="B8" i="2"/>
  <c r="D8" i="2"/>
  <c r="E8" i="2"/>
  <c r="B14" i="6"/>
  <c r="B17" i="6" s="1"/>
  <c r="B15" i="6"/>
  <c r="B16" i="6"/>
  <c r="B18" i="6"/>
  <c r="B19" i="6"/>
  <c r="B20" i="6"/>
  <c r="J2" i="8"/>
  <c r="J3" i="8"/>
  <c r="J4" i="8"/>
  <c r="J5" i="8"/>
  <c r="J6" i="8"/>
  <c r="C2" i="10"/>
  <c r="G2" i="10"/>
  <c r="H2" i="10"/>
  <c r="I2" i="10"/>
  <c r="J2" i="10"/>
  <c r="K2" i="10"/>
  <c r="L2" i="10"/>
  <c r="M2" i="10"/>
  <c r="N2" i="10"/>
  <c r="C3" i="10"/>
  <c r="G3" i="10"/>
  <c r="H3" i="10"/>
  <c r="I3" i="10"/>
  <c r="J3" i="10"/>
  <c r="K3" i="10"/>
  <c r="L3" i="10"/>
  <c r="M3" i="10"/>
  <c r="N3" i="10"/>
  <c r="C4" i="10"/>
  <c r="G4" i="10"/>
  <c r="H4" i="10"/>
  <c r="I4" i="10"/>
  <c r="J4" i="10"/>
  <c r="K4" i="10"/>
  <c r="L4" i="10"/>
  <c r="M4" i="10"/>
  <c r="N4" i="10"/>
  <c r="C5" i="10"/>
  <c r="G5" i="10"/>
  <c r="H5" i="10"/>
  <c r="I5" i="10"/>
  <c r="J5" i="10"/>
  <c r="K5" i="10"/>
  <c r="L5" i="10"/>
  <c r="M5" i="10"/>
  <c r="N5" i="10"/>
  <c r="C2" i="11"/>
  <c r="E2" i="11"/>
  <c r="G2" i="11"/>
  <c r="C3" i="11"/>
  <c r="E3" i="11"/>
  <c r="G3" i="11"/>
  <c r="C4" i="11"/>
  <c r="E4" i="11"/>
  <c r="G4" i="11"/>
  <c r="B2" i="12"/>
  <c r="B3" i="12"/>
  <c r="B4" i="12"/>
  <c r="B5" i="12"/>
  <c r="B6" i="12"/>
  <c r="B7" i="12"/>
  <c r="B8" i="12"/>
  <c r="B9" i="12"/>
  <c r="B10" i="12"/>
  <c r="Q2" i="10" l="1"/>
  <c r="O4" i="10"/>
  <c r="Q4" i="10"/>
  <c r="Q5" i="10"/>
  <c r="P2" i="10"/>
  <c r="O2" i="10"/>
  <c r="Q3" i="10"/>
  <c r="P3" i="10"/>
  <c r="F2" i="11" s="1"/>
  <c r="N2" i="11" s="1"/>
  <c r="O2" i="11" s="1"/>
  <c r="O3" i="10"/>
  <c r="B21" i="6"/>
  <c r="B24" i="6" s="1"/>
  <c r="B27" i="6" s="1"/>
  <c r="P5" i="10"/>
  <c r="F4" i="11" s="1"/>
  <c r="N4" i="11" s="1"/>
  <c r="O4" i="11" s="1"/>
  <c r="O5" i="10"/>
  <c r="P4" i="10"/>
  <c r="F3" i="11" s="1"/>
  <c r="N3" i="11" s="1"/>
  <c r="O3" i="11" s="1"/>
</calcChain>
</file>

<file path=xl/sharedStrings.xml><?xml version="1.0" encoding="utf-8"?>
<sst xmlns="http://schemas.openxmlformats.org/spreadsheetml/2006/main" count="493" uniqueCount="374">
  <si>
    <t>Chart_Name</t>
  </si>
  <si>
    <t>Source_Sheet</t>
  </si>
  <si>
    <t>X_Axis</t>
  </si>
  <si>
    <t>Y_Axis</t>
  </si>
  <si>
    <t>Chart_Type</t>
  </si>
  <si>
    <t>Design_Purpose</t>
  </si>
  <si>
    <t>Growth Curve</t>
  </si>
  <si>
    <t>02_Growth_Curve</t>
  </si>
  <si>
    <t>Level</t>
  </si>
  <si>
    <t>Total_EXP</t>
  </si>
  <si>
    <t>Line Chart</t>
  </si>
  <si>
    <t>Show Lv.1-60 growth pacing</t>
  </si>
  <si>
    <t>Power Modifier Curve</t>
  </si>
  <si>
    <t>Power_Modifier</t>
  </si>
  <si>
    <t>Show power scaling rhythm</t>
  </si>
  <si>
    <t>Resource Pressure</t>
  </si>
  <si>
    <t>07_Resource_Cost</t>
  </si>
  <si>
    <t>Stage</t>
  </si>
  <si>
    <t>Gold;Skill_Books;Shards;Equipment_Materials</t>
  </si>
  <si>
    <t>Stacked Column</t>
  </si>
  <si>
    <t>Show early/mid/late resource bottlenecks</t>
  </si>
  <si>
    <t>Defense Reduction Curve</t>
  </si>
  <si>
    <t>06_Combat_Calculator</t>
  </si>
  <si>
    <t>DEF</t>
  </si>
  <si>
    <t>Defense_Reduction</t>
  </si>
  <si>
    <t>Show diminishing returns of defense</t>
  </si>
  <si>
    <t>Crit Expected Value</t>
  </si>
  <si>
    <t>Crit_Rate</t>
  </si>
  <si>
    <t>Crit_Expected_Multiplier</t>
  </si>
  <si>
    <t>Show crit scaling risk</t>
  </si>
  <si>
    <t>Team Evaluation Radar</t>
  </si>
  <si>
    <t>08_Team_Evaluation</t>
  </si>
  <si>
    <t>Team</t>
  </si>
  <si>
    <t>DPS;Survival;Control;Healing;Energy;Synergy</t>
  </si>
  <si>
    <t>Radar Chart</t>
  </si>
  <si>
    <t>Show team strength beyond power score</t>
  </si>
  <si>
    <t>Damage Test Comparison</t>
  </si>
  <si>
    <t>11_Damage_Test</t>
  </si>
  <si>
    <t>Skill_Name</t>
  </si>
  <si>
    <t>Expected_Damage</t>
  </si>
  <si>
    <t>Column Chart</t>
  </si>
  <si>
    <t>Compare skill output across roles</t>
  </si>
  <si>
    <t>Resource Dashboard</t>
  </si>
  <si>
    <t>12_Resource_Dashboard</t>
  </si>
  <si>
    <t>Metric</t>
  </si>
  <si>
    <t>Value</t>
  </si>
  <si>
    <t>Bar Chart</t>
  </si>
  <si>
    <t>Summarize total resource pressure</t>
  </si>
  <si>
    <t>Formula_or_Source</t>
  </si>
  <si>
    <t>Total_EXP_to_Lv60</t>
  </si>
  <si>
    <t>From Growth Curve</t>
  </si>
  <si>
    <t>Total_Gold</t>
  </si>
  <si>
    <t>From Resource Cost</t>
  </si>
  <si>
    <t>Total_Ascension_Materials</t>
  </si>
  <si>
    <t>Total_Skill_Books</t>
  </si>
  <si>
    <t>Total_Shards</t>
  </si>
  <si>
    <t>Total_Equipment_Materials</t>
  </si>
  <si>
    <t>Early_Gold</t>
  </si>
  <si>
    <t>Early stage gold</t>
  </si>
  <si>
    <t>Mid_Gold</t>
  </si>
  <si>
    <t>Mid stage gold</t>
  </si>
  <si>
    <t>Late_Gold</t>
  </si>
  <si>
    <t>Late stage gold</t>
  </si>
  <si>
    <t>Resource_Design_Note</t>
  </si>
  <si>
    <t>Resources should shift from EXP pressure to gold, skill books, shards, and equipment materials across progression.</t>
  </si>
  <si>
    <t>Design summary</t>
  </si>
  <si>
    <t>Test_ID</t>
  </si>
  <si>
    <t>Stat_Key</t>
  </si>
  <si>
    <t>Character_ID</t>
  </si>
  <si>
    <t>Skill_ID</t>
  </si>
  <si>
    <t>Final_ATK</t>
  </si>
  <si>
    <t>Skill_Multiplier</t>
  </si>
  <si>
    <t>Enemy_DEF</t>
  </si>
  <si>
    <t>Defense_Constant</t>
  </si>
  <si>
    <t>Crit_Damage_Bonus</t>
  </si>
  <si>
    <t>Damage_Bonus</t>
  </si>
  <si>
    <t>Damage_Reduction</t>
  </si>
  <si>
    <t>Damage_Per_Energy</t>
  </si>
  <si>
    <t>Design_Note</t>
  </si>
  <si>
    <t>T001</t>
  </si>
  <si>
    <t>C001_L60_S5_BT4</t>
  </si>
  <si>
    <t>S002</t>
  </si>
  <si>
    <t>Burst skill output check</t>
  </si>
  <si>
    <t>T002</t>
  </si>
  <si>
    <t>C002_L60_S5_BT4</t>
  </si>
  <si>
    <t>S005</t>
  </si>
  <si>
    <t>AOE per-target output check</t>
  </si>
  <si>
    <t>T003</t>
  </si>
  <si>
    <t>C003_L60_S5_BT4</t>
  </si>
  <si>
    <t>S008</t>
  </si>
  <si>
    <t>Support active value reference</t>
  </si>
  <si>
    <t>Name_EN</t>
  </si>
  <si>
    <t>Star</t>
  </si>
  <si>
    <t>Breakthrough</t>
  </si>
  <si>
    <t>Base_HP</t>
  </si>
  <si>
    <t>Base_ATK</t>
  </si>
  <si>
    <t>Base_DEF</t>
  </si>
  <si>
    <t>Star_ATK_Bonus</t>
  </si>
  <si>
    <t>Star_HP_Bonus</t>
  </si>
  <si>
    <t>Star_DEF_Bonus</t>
  </si>
  <si>
    <t>BT_Stat_Bonus</t>
  </si>
  <si>
    <t>Final_HP</t>
  </si>
  <si>
    <t>Final_DEF</t>
  </si>
  <si>
    <t>C001_L20_S3_BT1</t>
  </si>
  <si>
    <t>C001</t>
  </si>
  <si>
    <t>BT1</t>
  </si>
  <si>
    <t>BT4</t>
  </si>
  <si>
    <t>C002</t>
  </si>
  <si>
    <t>C003</t>
  </si>
  <si>
    <t>Risk</t>
  </si>
  <si>
    <t>Cause</t>
  </si>
  <si>
    <t>Impact</t>
  </si>
  <si>
    <t>Detection_Method</t>
  </si>
  <si>
    <t>Mitigation</t>
  </si>
  <si>
    <t>Crit Scaling Inflation</t>
  </si>
  <si>
    <t>Crit rate and crit damage scale together</t>
  </si>
  <si>
    <t>Late-game burst becomes too high</t>
  </si>
  <si>
    <t>Expected damage curve test</t>
  </si>
  <si>
    <t>Crit cap and controlled crit damage sources</t>
  </si>
  <si>
    <t>Speed Dominance</t>
  </si>
  <si>
    <t>Speed affects both turn order and energy cycle</t>
  </si>
  <si>
    <t>First-turn advantage becomes too strong</t>
  </si>
  <si>
    <t>Turn order simulation</t>
  </si>
  <si>
    <t>Limit speed scaling and separate speed from energy gain</t>
  </si>
  <si>
    <t>Healing Inflation</t>
  </si>
  <si>
    <t>High healing uptime makes damage meaningless</t>
  </si>
  <si>
    <t>Stages require burst or anti-heal mechanics</t>
  </si>
  <si>
    <t>Survival duration test</t>
  </si>
  <si>
    <t>Control healing frequency and energy cost</t>
  </si>
  <si>
    <t>Shield Stacking</t>
  </si>
  <si>
    <t>Multiple shields stack without limits</t>
  </si>
  <si>
    <t>Teams become nearly unkillable</t>
  </si>
  <si>
    <t>Shield uptime analysis</t>
  </si>
  <si>
    <t>Limit stacking rules and duration</t>
  </si>
  <si>
    <t>Star Gap</t>
  </si>
  <si>
    <t>Duplicate characters provide too much linear power</t>
  </si>
  <si>
    <t>F2P players fall too far behind</t>
  </si>
  <si>
    <t>F2P vs paid progression comparison</t>
  </si>
  <si>
    <t>Diminishing star-up returns</t>
  </si>
  <si>
    <t>AOE Overefficiency</t>
  </si>
  <si>
    <t>AOE skills have high total effective multiplier</t>
  </si>
  <si>
    <t>AOE units replace single-target DPS</t>
  </si>
  <si>
    <t>Single-target vs multi-target DPS comparison</t>
  </si>
  <si>
    <t>Lower AOE multiplier and preserve boss weakness</t>
  </si>
  <si>
    <t>Power Score Misleading</t>
  </si>
  <si>
    <t>Power score ignores synergy and control</t>
  </si>
  <si>
    <t>Players misjudge team strength</t>
  </si>
  <si>
    <t>Team performance comparison</t>
  </si>
  <si>
    <t>Use multi-dimensional team evaluation</t>
  </si>
  <si>
    <t>Resource Bottleneck Overlap</t>
  </si>
  <si>
    <t>Too many resources become scarce at the same time</t>
  </si>
  <si>
    <t>Players feel blocked and confused</t>
  </si>
  <si>
    <t>Progression funnel review</t>
  </si>
  <si>
    <t>Stagger resource pressure by stage</t>
  </si>
  <si>
    <t>Energy Loop Abuse</t>
  </si>
  <si>
    <t>Energy gain and skill effects create repeated ultimates</t>
  </si>
  <si>
    <t>Skill cycle becomes too fast</t>
  </si>
  <si>
    <t>Auto-battle cycle simulation</t>
  </si>
  <si>
    <t>Cap energy refund and adjust skill cost</t>
  </si>
  <si>
    <t>Support Overload</t>
  </si>
  <si>
    <t>Healing shield cleanse and buff exist on one unit</t>
  </si>
  <si>
    <t>One support becomes mandatory</t>
  </si>
  <si>
    <t>Role value comparison</t>
  </si>
  <si>
    <t>Split functions or reduce uptime</t>
  </si>
  <si>
    <t>Power</t>
  </si>
  <si>
    <t>Role_Concept</t>
  </si>
  <si>
    <t>DPS</t>
  </si>
  <si>
    <t>Survival</t>
  </si>
  <si>
    <t>Control</t>
  </si>
  <si>
    <t>Healing</t>
  </si>
  <si>
    <t>Energy</t>
  </si>
  <si>
    <t>Synergy</t>
  </si>
  <si>
    <t>Final_Score</t>
  </si>
  <si>
    <t>Comment</t>
  </si>
  <si>
    <t>Burst Team</t>
  </si>
  <si>
    <t>Burst and execution</t>
  </si>
  <si>
    <t>Strong burst and execution; weak sustain</t>
  </si>
  <si>
    <t>Sustain Team</t>
  </si>
  <si>
    <t>Tank and healer</t>
  </si>
  <si>
    <t>Stable and safe; slower damage output</t>
  </si>
  <si>
    <t>Control Team</t>
  </si>
  <si>
    <t>Control cycle</t>
  </si>
  <si>
    <t>Strong disruption; depends on control accuracy</t>
  </si>
  <si>
    <t>DOT Team</t>
  </si>
  <si>
    <t>Long fight DPS</t>
  </si>
  <si>
    <t>Strong in boss fights; slower wave clearing</t>
  </si>
  <si>
    <t>Balanced Team</t>
  </si>
  <si>
    <t>General purpose</t>
  </si>
  <si>
    <t>General-purpose team with fewer weaknesses</t>
  </si>
  <si>
    <t>Level_Range</t>
  </si>
  <si>
    <t>Target_Level</t>
  </si>
  <si>
    <t>Gold</t>
  </si>
  <si>
    <t>Ascension_Materials</t>
  </si>
  <si>
    <t>Skill_Books</t>
  </si>
  <si>
    <t>Shards</t>
  </si>
  <si>
    <t>Equipment_Materials</t>
  </si>
  <si>
    <t>Initial</t>
  </si>
  <si>
    <t>Character obtained</t>
  </si>
  <si>
    <t>Early I</t>
  </si>
  <si>
    <t>Fast growth feedback</t>
  </si>
  <si>
    <t>Early II</t>
  </si>
  <si>
    <t>First progression gate</t>
  </si>
  <si>
    <t>Mid I</t>
  </si>
  <si>
    <t>21-30</t>
  </si>
  <si>
    <t>Introduce skill and shard pressure</t>
  </si>
  <si>
    <t>Mid II</t>
  </si>
  <si>
    <t>31-40</t>
  </si>
  <si>
    <t>Main team commitment</t>
  </si>
  <si>
    <t>Late I</t>
  </si>
  <si>
    <t>41-50</t>
  </si>
  <si>
    <t>Strong resource tension</t>
  </si>
  <si>
    <t>Late II</t>
  </si>
  <si>
    <t>51-60</t>
  </si>
  <si>
    <t>Long-term build target</t>
  </si>
  <si>
    <t>Parameter</t>
  </si>
  <si>
    <t>Formula_or_Note</t>
  </si>
  <si>
    <t>ATK</t>
  </si>
  <si>
    <t>Input</t>
  </si>
  <si>
    <t>Input. 250% = 2.5</t>
  </si>
  <si>
    <t>Input. Crit damage 150% means bonus 50%</t>
  </si>
  <si>
    <t>Element_Bonus</t>
  </si>
  <si>
    <t>Faction_Bonus</t>
  </si>
  <si>
    <t>Attacker_Level</t>
  </si>
  <si>
    <t>Defender_Level</t>
  </si>
  <si>
    <t>Level_Modifier</t>
  </si>
  <si>
    <t>Clamp level effect between -15% and +15%</t>
  </si>
  <si>
    <t>Base_Damage</t>
  </si>
  <si>
    <t>ATK * Skill_Multiplier</t>
  </si>
  <si>
    <t>DEF / (DEF + Defense_Constant)</t>
  </si>
  <si>
    <t>Damage_After_Defense</t>
  </si>
  <si>
    <t>Base_Damage * (1 - Defense_Reduction)</t>
  </si>
  <si>
    <t>1 + Crit_Rate * Crit_Damage_Bonus</t>
  </si>
  <si>
    <t>Damage_Bonus_Multiplier</t>
  </si>
  <si>
    <t>1 + all additive damage bonuses</t>
  </si>
  <si>
    <t>Damage_Reduction_Multiplier</t>
  </si>
  <si>
    <t>1 - Damage_Reduction</t>
  </si>
  <si>
    <t>Final expected damage</t>
  </si>
  <si>
    <t>Healing_Multiplier</t>
  </si>
  <si>
    <t>Healing_Bonus</t>
  </si>
  <si>
    <t>Healing_Amount</t>
  </si>
  <si>
    <t>Caster ATK * Healing Multiplier * (1 + Healing Bonus)</t>
  </si>
  <si>
    <t>Shield_Multiplier</t>
  </si>
  <si>
    <t>Shield_Bonus</t>
  </si>
  <si>
    <t>Shield_Amount</t>
  </si>
  <si>
    <t>Caster ATK * Shield Multiplier * (1 + Shield Bonus)</t>
  </si>
  <si>
    <t>Type</t>
  </si>
  <si>
    <t>Target</t>
  </si>
  <si>
    <t>Multiplier</t>
  </si>
  <si>
    <t>Energy_Cost</t>
  </si>
  <si>
    <t>Cooldown</t>
  </si>
  <si>
    <t>Extra_Effect</t>
  </si>
  <si>
    <t>Risk_Note</t>
  </si>
  <si>
    <t>S001</t>
  </si>
  <si>
    <t>Shadow Strike</t>
  </si>
  <si>
    <t>Basic</t>
  </si>
  <si>
    <t>Single Enemy</t>
  </si>
  <si>
    <t>None</t>
  </si>
  <si>
    <t>Low risk</t>
  </si>
  <si>
    <t>Crimson Execute</t>
  </si>
  <si>
    <t>Active</t>
  </si>
  <si>
    <t>Lowest HP Enemy</t>
  </si>
  <si>
    <t>+30% damage if target HP &lt; 35%</t>
  </si>
  <si>
    <t>Execute threshold and crit burst risk</t>
  </si>
  <si>
    <t>S003</t>
  </si>
  <si>
    <t>Kill Energy</t>
  </si>
  <si>
    <t>Passive</t>
  </si>
  <si>
    <t>Self</t>
  </si>
  <si>
    <t>+30 energy after kill</t>
  </si>
  <si>
    <t>Chain kill risk</t>
  </si>
  <si>
    <t>S004</t>
  </si>
  <si>
    <t>Star Bolt</t>
  </si>
  <si>
    <t>+5 energy</t>
  </si>
  <si>
    <t>Energy loop risk</t>
  </si>
  <si>
    <t>Star Ring Burst</t>
  </si>
  <si>
    <t>All Enemies</t>
  </si>
  <si>
    <t>AOE damage</t>
  </si>
  <si>
    <t>High total multiplier risk</t>
  </si>
  <si>
    <t>S006</t>
  </si>
  <si>
    <t>Stardust Echo</t>
  </si>
  <si>
    <t>All Hit Enemies</t>
  </si>
  <si>
    <t>DOT for 2 turns</t>
  </si>
  <si>
    <t>DOT stacking risk</t>
  </si>
  <si>
    <t>S007</t>
  </si>
  <si>
    <t>Light Feather</t>
  </si>
  <si>
    <t>Enemy + Ally</t>
  </si>
  <si>
    <t>Heal lowest HP ally for ATK × 60%</t>
  </si>
  <si>
    <t>High auto sustain risk</t>
  </si>
  <si>
    <t>Holy Protection</t>
  </si>
  <si>
    <t>All Allies</t>
  </si>
  <si>
    <t>Group heal and shield ATK × 150%</t>
  </si>
  <si>
    <t>Shield uptime risk</t>
  </si>
  <si>
    <t>S009</t>
  </si>
  <si>
    <t>Purify</t>
  </si>
  <si>
    <t>60% chance to remove 1 debuff</t>
  </si>
  <si>
    <t>Support overload risk</t>
  </si>
  <si>
    <t>Required_Shards</t>
  </si>
  <si>
    <t>ATK_Bonus</t>
  </si>
  <si>
    <t>HP_Bonus</t>
  </si>
  <si>
    <t>DEF_Bonus</t>
  </si>
  <si>
    <t>Unlock_Effect</t>
  </si>
  <si>
    <t>Base character</t>
  </si>
  <si>
    <t>Usable at acquisition</t>
  </si>
  <si>
    <t>Small stat improvement</t>
  </si>
  <si>
    <t>Passive enhancement</t>
  </si>
  <si>
    <t>First meaningful upgrade</t>
  </si>
  <si>
    <t>Controlled stat growth</t>
  </si>
  <si>
    <t>Skill mechanism upgrade</t>
  </si>
  <si>
    <t>High investment reward</t>
  </si>
  <si>
    <t>Minor final optimization</t>
  </si>
  <si>
    <t>Diminishing return to avoid huge gap</t>
  </si>
  <si>
    <t>Required_Level</t>
  </si>
  <si>
    <t>New_Level_Cap</t>
  </si>
  <si>
    <t>Gold_Cost</t>
  </si>
  <si>
    <t>Material_Type</t>
  </si>
  <si>
    <t>Material_Count</t>
  </si>
  <si>
    <t>Stat_Bonus</t>
  </si>
  <si>
    <t>Unlock</t>
  </si>
  <si>
    <t>BT0</t>
  </si>
  <si>
    <t>Base state</t>
  </si>
  <si>
    <t>Basic Ascension Stone</t>
  </si>
  <si>
    <t>First ascension</t>
  </si>
  <si>
    <t>BT2</t>
  </si>
  <si>
    <t>Passive slot</t>
  </si>
  <si>
    <t>BT3</t>
  </si>
  <si>
    <t>Mid Ascension Stone</t>
  </si>
  <si>
    <t>Advanced skill scaling</t>
  </si>
  <si>
    <t>High Ascension Stone</t>
  </si>
  <si>
    <t>Late-game growth</t>
  </si>
  <si>
    <t>EXP_To_Next</t>
  </si>
  <si>
    <t>Name_CN</t>
  </si>
  <si>
    <t>Role</t>
  </si>
  <si>
    <t>Rarity</t>
  </si>
  <si>
    <t>Faction</t>
  </si>
  <si>
    <t>Class</t>
  </si>
  <si>
    <t>Base_Speed</t>
  </si>
  <si>
    <t>Base_Crit_Rate</t>
  </si>
  <si>
    <t>Base_Crit_Damage</t>
  </si>
  <si>
    <t>Core_Stats</t>
  </si>
  <si>
    <t>绯刃·赛琳</t>
  </si>
  <si>
    <t>Serin, Crimson Blade</t>
  </si>
  <si>
    <t>Burst DPS</t>
  </si>
  <si>
    <t>SSR</t>
  </si>
  <si>
    <t>Crimson</t>
  </si>
  <si>
    <t>Assassin</t>
  </si>
  <si>
    <t>ATK;Crit Rate;Crit Damage;Speed</t>
  </si>
  <si>
    <t>Single-target execution and kill reset</t>
  </si>
  <si>
    <t>星环术士·弥娅</t>
  </si>
  <si>
    <t>Mia, Star Ring Mage</t>
  </si>
  <si>
    <t>AOE DPS</t>
  </si>
  <si>
    <t>Astral</t>
  </si>
  <si>
    <t>Mage</t>
  </si>
  <si>
    <t>ATK;Damage Bonus;Energy;Crit Rate</t>
  </si>
  <si>
    <t>AOE pressure and energy loop</t>
  </si>
  <si>
    <t>白羽祭司·诺雅</t>
  </si>
  <si>
    <t>Noa, White Feather Priest</t>
  </si>
  <si>
    <t>Healer / Shield</t>
  </si>
  <si>
    <t>Holy</t>
  </si>
  <si>
    <t>Support</t>
  </si>
  <si>
    <t>ATK;Healing Bonus;HP;Energy</t>
  </si>
  <si>
    <t>Healing shield and anti-burst support</t>
  </si>
  <si>
    <t>1-10</t>
    <phoneticPr fontId="1" type="noConversion"/>
  </si>
  <si>
    <t>11-20</t>
    <phoneticPr fontId="1" type="noConversion"/>
  </si>
  <si>
    <t>Gold_Days</t>
  </si>
  <si>
    <t>Skill_Book_Days</t>
  </si>
  <si>
    <t>Shard_Days</t>
  </si>
  <si>
    <t>Equipment_Days</t>
  </si>
  <si>
    <t>Total_Farming_Days</t>
  </si>
  <si>
    <t>Resource</t>
  </si>
  <si>
    <t>Daily_Income</t>
  </si>
  <si>
    <t>---</t>
  </si>
  <si>
    <t>---:</t>
  </si>
  <si>
    <t>80% Crit_DMG_Bonus</t>
  </si>
  <si>
    <t>100% Crit_DMG_Bonus</t>
  </si>
  <si>
    <t>50% Crit_DMG_Bonus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</si>
</sst>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Lv.1–60 Growth Curve: EXP Requirement and Power Modifier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74108239"/>
        <c:axId val="37411015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'02_Growth_Curve'!$A$1</c15:sqref>
                        </c15:formulaRef>
                      </c:ext>
                    </c:extLst>
                    <c:strCache>
                      <c:ptCount val="1"/>
                      <c:pt idx="0">
                        <c:v>Level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'02_Growth_Curve'!$A$2:$A$8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10</c:v>
                      </c:pt>
                      <c:pt idx="2">
                        <c:v>20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50</c:v>
                      </c:pt>
                      <c:pt idx="6">
                        <c:v>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'02_Growth_Curve'!$A$2:$A$8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10</c:v>
                      </c:pt>
                      <c:pt idx="2">
                        <c:v>20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50</c:v>
                      </c:pt>
                      <c:pt idx="6">
                        <c:v>60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376-4422-87C5-2A4DFD2DE179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1"/>
          <c:tx>
            <c:strRef>
              <c:f>'02_Growth_Curve'!$B$1</c:f>
              <c:strCache>
                <c:ptCount val="1"/>
                <c:pt idx="0">
                  <c:v>EXP_To_Next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'02_Growth_Curve'!$A$2:$A$8</c:f>
              <c:numCache>
                <c:formatCode>General</c:formatCode>
                <c:ptCount val="7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cat>
          <c:val>
            <c:numRef>
              <c:f>'02_Growth_Curve'!$B$2:$B$8</c:f>
              <c:numCache>
                <c:formatCode>General</c:formatCode>
                <c:ptCount val="7"/>
                <c:pt idx="0">
                  <c:v>80</c:v>
                </c:pt>
                <c:pt idx="1">
                  <c:v>3573</c:v>
                </c:pt>
                <c:pt idx="2">
                  <c:v>11215</c:v>
                </c:pt>
                <c:pt idx="3">
                  <c:v>21895</c:v>
                </c:pt>
                <c:pt idx="4">
                  <c:v>35196</c:v>
                </c:pt>
                <c:pt idx="5">
                  <c:v>50862</c:v>
                </c:pt>
                <c:pt idx="6">
                  <c:v>68713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76-4422-87C5-2A4DFD2DE179}"/>
            </c:ext>
          </c:extLst>
        </c:ser>
        <c:ser>
          <c:idx val="2"/>
          <c:order val="2"/>
          <c:tx>
            <c:strRef>
              <c:f>'02_Growth_Curve'!$C$1</c:f>
              <c:strCache>
                <c:ptCount val="1"/>
                <c:pt idx="0">
                  <c:v>Total_EXP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'02_Growth_Curve'!$A$2:$A$8</c:f>
              <c:numCache>
                <c:formatCode>General</c:formatCode>
                <c:ptCount val="7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cat>
          <c:val>
            <c:numRef>
              <c:f>'02_Growth_Curve'!$C$2:$C$8</c:f>
              <c:numCache>
                <c:formatCode>General</c:formatCode>
                <c:ptCount val="7"/>
                <c:pt idx="0">
                  <c:v>0</c:v>
                </c:pt>
                <c:pt idx="1">
                  <c:v>12000</c:v>
                </c:pt>
                <c:pt idx="2">
                  <c:v>55000</c:v>
                </c:pt>
                <c:pt idx="3">
                  <c:v>120000</c:v>
                </c:pt>
                <c:pt idx="4">
                  <c:v>220000</c:v>
                </c:pt>
                <c:pt idx="5">
                  <c:v>360000</c:v>
                </c:pt>
                <c:pt idx="6">
                  <c:v>520000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76-4422-87C5-2A4DFD2DE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4108239"/>
        <c:axId val="374110159"/>
      </c:lineChart>
      <c:lineChart>
        <c:grouping val="standard"/>
        <c:varyColors val="0"/>
        <c:ser>
          <c:idx val="3"/>
          <c:order val="3"/>
          <c:tx>
            <c:strRef>
              <c:f>'02_Growth_Curve'!$D$1</c:f>
              <c:strCache>
                <c:ptCount val="1"/>
                <c:pt idx="0">
                  <c:v>Power_Modifier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'02_Growth_Curve'!$A$2:$A$8</c:f>
              <c:numCache>
                <c:formatCode>General</c:formatCode>
                <c:ptCount val="7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cat>
          <c:val>
            <c:numRef>
              <c:f>'02_Growth_Curve'!$D$2:$D$8</c:f>
              <c:numCache>
                <c:formatCode>General</c:formatCode>
                <c:ptCount val="7"/>
                <c:pt idx="0">
                  <c:v>1</c:v>
                </c:pt>
                <c:pt idx="1">
                  <c:v>1.61</c:v>
                </c:pt>
                <c:pt idx="2">
                  <c:v>2.29</c:v>
                </c:pt>
                <c:pt idx="3">
                  <c:v>2.97</c:v>
                </c:pt>
                <c:pt idx="4">
                  <c:v>3.64</c:v>
                </c:pt>
                <c:pt idx="5">
                  <c:v>4.32</c:v>
                </c:pt>
                <c:pt idx="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76-4422-87C5-2A4DFD2DE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7836591"/>
        <c:axId val="387837551"/>
      </c:lineChart>
      <c:catAx>
        <c:axId val="37410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4110159"/>
        <c:crosses val="autoZero"/>
        <c:auto val="1"/>
        <c:lblAlgn val="ctr"/>
        <c:lblOffset val="100"/>
        <c:noMultiLvlLbl val="0"/>
      </c:catAx>
      <c:valAx>
        <c:axId val="37411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4108239"/>
        <c:crosses val="autoZero"/>
        <c:crossBetween val="between"/>
      </c:valAx>
      <c:valAx>
        <c:axId val="38783755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7836591"/>
        <c:crosses val="max"/>
        <c:crossBetween val="between"/>
      </c:valAx>
      <c:catAx>
        <c:axId val="3878365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783755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'08_Team_Evaluation'!$A$2:$C$2</c:f>
              <c:strCache>
                <c:ptCount val="3"/>
                <c:pt idx="0">
                  <c:v>Burst Team</c:v>
                </c:pt>
                <c:pt idx="1">
                  <c:v>120000</c:v>
                </c:pt>
                <c:pt idx="2">
                  <c:v>Burst and execution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'08_Team_Evaluation'!$D$1:$J$1</c15:sqref>
                  </c15:fullRef>
                </c:ext>
              </c:extLst>
              <c:f>'08_Team_Evaluation'!$D$1:$I$1</c:f>
              <c:strCache>
                <c:ptCount val="6"/>
                <c:pt idx="0">
                  <c:v>DPS</c:v>
                </c:pt>
                <c:pt idx="1">
                  <c:v>Survival</c:v>
                </c:pt>
                <c:pt idx="2">
                  <c:v>Control</c:v>
                </c:pt>
                <c:pt idx="3">
                  <c:v>Healing</c:v>
                </c:pt>
                <c:pt idx="4">
                  <c:v>Energy</c:v>
                </c:pt>
                <c:pt idx="5">
                  <c:v>Synergy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'08_Team_Evaluation'!$D$2:$J$2</c15:sqref>
                  </c15:fullRef>
                </c:ext>
              </c:extLst>
              <c:f>'08_Team_Evaluation'!$D$2:$I$2</c:f>
              <c:numCache>
                <c:formatCode>General</c:formatCode>
                <c:ptCount val="6"/>
                <c:pt idx="0">
                  <c:v>95</c:v>
                </c:pt>
                <c:pt idx="1">
                  <c:v>55</c:v>
                </c:pt>
                <c:pt idx="2">
                  <c:v>40</c:v>
                </c:pt>
                <c:pt idx="3">
                  <c:v>30</c:v>
                </c:pt>
                <c:pt idx="4">
                  <c:v>70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E6-4C09-B709-D8058DF70931}"/>
            </c:ext>
          </c:extLst>
        </c:ser>
        <c:ser>
          <c:idx val="1"/>
          <c:order val="1"/>
          <c:tx>
            <c:strRef>
              <c:f>'08_Team_Evaluation'!$A$3:$C$3</c:f>
              <c:strCache>
                <c:ptCount val="3"/>
                <c:pt idx="0">
                  <c:v>Sustain Team</c:v>
                </c:pt>
                <c:pt idx="1">
                  <c:v>115000</c:v>
                </c:pt>
                <c:pt idx="2">
                  <c:v>Tank and healer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'08_Team_Evaluation'!$D$1:$J$1</c15:sqref>
                  </c15:fullRef>
                </c:ext>
              </c:extLst>
              <c:f>'08_Team_Evaluation'!$D$1:$I$1</c:f>
              <c:strCache>
                <c:ptCount val="6"/>
                <c:pt idx="0">
                  <c:v>DPS</c:v>
                </c:pt>
                <c:pt idx="1">
                  <c:v>Survival</c:v>
                </c:pt>
                <c:pt idx="2">
                  <c:v>Control</c:v>
                </c:pt>
                <c:pt idx="3">
                  <c:v>Healing</c:v>
                </c:pt>
                <c:pt idx="4">
                  <c:v>Energy</c:v>
                </c:pt>
                <c:pt idx="5">
                  <c:v>Synergy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'08_Team_Evaluation'!$D$3:$J$3</c15:sqref>
                  </c15:fullRef>
                </c:ext>
              </c:extLst>
              <c:f>'08_Team_Evaluation'!$D$3:$I$3</c:f>
              <c:numCache>
                <c:formatCode>General</c:formatCode>
                <c:ptCount val="6"/>
                <c:pt idx="0">
                  <c:v>55</c:v>
                </c:pt>
                <c:pt idx="1">
                  <c:v>95</c:v>
                </c:pt>
                <c:pt idx="2">
                  <c:v>45</c:v>
                </c:pt>
                <c:pt idx="3">
                  <c:v>90</c:v>
                </c:pt>
                <c:pt idx="4">
                  <c:v>50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E6-4C09-B709-D8058DF70931}"/>
            </c:ext>
          </c:extLst>
        </c:ser>
        <c:ser>
          <c:idx val="2"/>
          <c:order val="2"/>
          <c:tx>
            <c:strRef>
              <c:f>'08_Team_Evaluation'!$A$4:$C$4</c:f>
              <c:strCache>
                <c:ptCount val="3"/>
                <c:pt idx="0">
                  <c:v>Control Team</c:v>
                </c:pt>
                <c:pt idx="1">
                  <c:v>110000</c:v>
                </c:pt>
                <c:pt idx="2">
                  <c:v>Control cycle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'08_Team_Evaluation'!$D$1:$J$1</c15:sqref>
                  </c15:fullRef>
                </c:ext>
              </c:extLst>
              <c:f>'08_Team_Evaluation'!$D$1:$I$1</c:f>
              <c:strCache>
                <c:ptCount val="6"/>
                <c:pt idx="0">
                  <c:v>DPS</c:v>
                </c:pt>
                <c:pt idx="1">
                  <c:v>Survival</c:v>
                </c:pt>
                <c:pt idx="2">
                  <c:v>Control</c:v>
                </c:pt>
                <c:pt idx="3">
                  <c:v>Healing</c:v>
                </c:pt>
                <c:pt idx="4">
                  <c:v>Energy</c:v>
                </c:pt>
                <c:pt idx="5">
                  <c:v>Synergy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'08_Team_Evaluation'!$D$4:$J$4</c15:sqref>
                  </c15:fullRef>
                </c:ext>
              </c:extLst>
              <c:f>'08_Team_Evaluation'!$D$4:$I$4</c:f>
              <c:numCache>
                <c:formatCode>General</c:formatCode>
                <c:ptCount val="6"/>
                <c:pt idx="0">
                  <c:v>65</c:v>
                </c:pt>
                <c:pt idx="1">
                  <c:v>60</c:v>
                </c:pt>
                <c:pt idx="2">
                  <c:v>95</c:v>
                </c:pt>
                <c:pt idx="3">
                  <c:v>45</c:v>
                </c:pt>
                <c:pt idx="4">
                  <c:v>75</c:v>
                </c:pt>
                <c:pt idx="5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E6-4C09-B709-D8058DF70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634575"/>
        <c:axId val="383637935"/>
        <c:extLst>
          <c:ext xmlns:c15="http://schemas.microsoft.com/office/drawing/2012/chart" uri="{02D57815-91ED-43cb-92C2-25804820EDAC}">
            <c15:filteredRad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'08_Team_Evaluation'!$A$5:$C$5</c15:sqref>
                        </c15:formulaRef>
                      </c:ext>
                    </c:extLst>
                    <c:strCache>
                      <c:ptCount val="3"/>
                      <c:pt idx="0">
                        <c:v>DOT Team</c:v>
                      </c:pt>
                      <c:pt idx="1">
                        <c:v>108000</c:v>
                      </c:pt>
                      <c:pt idx="2">
                        <c:v>Long fight DPS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'08_Team_Evaluation'!$D$1:$J$1</c15:sqref>
                        </c15:fullRef>
                        <c15:formulaRef>
                          <c15:sqref>'08_Team_Evaluation'!$D$1:$I$1</c15:sqref>
                        </c15:formulaRef>
                      </c:ext>
                    </c:extLst>
                    <c:strCache>
                      <c:ptCount val="6"/>
                      <c:pt idx="0">
                        <c:v>DPS</c:v>
                      </c:pt>
                      <c:pt idx="1">
                        <c:v>Survival</c:v>
                      </c:pt>
                      <c:pt idx="2">
                        <c:v>Control</c:v>
                      </c:pt>
                      <c:pt idx="3">
                        <c:v>Healing</c:v>
                      </c:pt>
                      <c:pt idx="4">
                        <c:v>Energy</c:v>
                      </c:pt>
                      <c:pt idx="5">
                        <c:v>Synergy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'08_Team_Evaluation'!$D$5:$J$5</c15:sqref>
                        </c15:fullRef>
                        <c15:formulaRef>
                          <c15:sqref>'08_Team_Evaluation'!$D$5:$I$5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80</c:v>
                      </c:pt>
                      <c:pt idx="1">
                        <c:v>70</c:v>
                      </c:pt>
                      <c:pt idx="2">
                        <c:v>50</c:v>
                      </c:pt>
                      <c:pt idx="3">
                        <c:v>60</c:v>
                      </c:pt>
                      <c:pt idx="4">
                        <c:v>65</c:v>
                      </c:pt>
                      <c:pt idx="5">
                        <c:v>90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CCE6-4C09-B709-D8058DF70931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'08_Team_Evaluation'!$A$6:$C$6</c15:sqref>
                        </c15:formulaRef>
                      </c:ext>
                    </c:extLst>
                    <c:strCache>
                      <c:ptCount val="3"/>
                      <c:pt idx="0">
                        <c:v>Balanced Team</c:v>
                      </c:pt>
                      <c:pt idx="1">
                        <c:v>118000</c:v>
                      </c:pt>
                      <c:pt idx="2">
                        <c:v>General purpose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'08_Team_Evaluation'!$D$1:$J$1</c15:sqref>
                        </c15:fullRef>
                        <c15:formulaRef>
                          <c15:sqref>'08_Team_Evaluation'!$D$1:$I$1</c15:sqref>
                        </c15:formulaRef>
                      </c:ext>
                    </c:extLst>
                    <c:strCache>
                      <c:ptCount val="6"/>
                      <c:pt idx="0">
                        <c:v>DPS</c:v>
                      </c:pt>
                      <c:pt idx="1">
                        <c:v>Survival</c:v>
                      </c:pt>
                      <c:pt idx="2">
                        <c:v>Control</c:v>
                      </c:pt>
                      <c:pt idx="3">
                        <c:v>Healing</c:v>
                      </c:pt>
                      <c:pt idx="4">
                        <c:v>Energy</c:v>
                      </c:pt>
                      <c:pt idx="5">
                        <c:v>Synergy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'08_Team_Evaluation'!$D$6:$J$6</c15:sqref>
                        </c15:fullRef>
                        <c15:formulaRef>
                          <c15:sqref>'08_Team_Evaluation'!$D$6:$I$6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75</c:v>
                      </c:pt>
                      <c:pt idx="1">
                        <c:v>75</c:v>
                      </c:pt>
                      <c:pt idx="2">
                        <c:v>65</c:v>
                      </c:pt>
                      <c:pt idx="3">
                        <c:v>65</c:v>
                      </c:pt>
                      <c:pt idx="4">
                        <c:v>65</c:v>
                      </c:pt>
                      <c:pt idx="5">
                        <c:v>75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CCE6-4C09-B709-D8058DF70931}"/>
                  </c:ext>
                </c:extLst>
              </c15:ser>
            </c15:filteredRadarSeries>
          </c:ext>
        </c:extLst>
      </c:radarChart>
      <c:catAx>
        <c:axId val="38363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3637935"/>
        <c:crosses val="autoZero"/>
        <c:auto val="1"/>
        <c:lblAlgn val="ctr"/>
        <c:lblOffset val="100"/>
        <c:noMultiLvlLbl val="0"/>
      </c:catAx>
      <c:valAx>
        <c:axId val="38363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363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en-US" sz="1100"/>
              <a:t>Lv.1–60 Growth Curve: EXP Requirement and Power Modifier</a:t>
            </a:r>
            <a:endParaRPr lang="zh-CN" sz="1100"/>
          </a:p>
        </c:rich>
      </c:tx>
      <c:layout>
        <c:manualLayout>
          <c:xMode val="edge"/>
          <c:yMode val="edge"/>
          <c:x val="0.1489096675415573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74108239"/>
        <c:axId val="37411015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'02_Growth_Curve'!$A$1</c15:sqref>
                        </c15:formulaRef>
                      </c:ext>
                    </c:extLst>
                    <c:strCache>
                      <c:ptCount val="1"/>
                      <c:pt idx="0">
                        <c:v>Level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'02_Growth_Curve'!$A$2:$A$8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10</c:v>
                      </c:pt>
                      <c:pt idx="2">
                        <c:v>20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50</c:v>
                      </c:pt>
                      <c:pt idx="6">
                        <c:v>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'02_Growth_Curve'!$A$2:$A$8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10</c:v>
                      </c:pt>
                      <c:pt idx="2">
                        <c:v>20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50</c:v>
                      </c:pt>
                      <c:pt idx="6">
                        <c:v>60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EEFB-49A7-87B6-6F861D456D8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1"/>
          <c:tx>
            <c:strRef>
              <c:f>'02_Growth_Curve'!$B$1</c:f>
              <c:strCache>
                <c:ptCount val="1"/>
                <c:pt idx="0">
                  <c:v>EXP_To_Next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'02_Growth_Curve'!$A$2:$A$8</c:f>
              <c:numCache>
                <c:formatCode>General</c:formatCode>
                <c:ptCount val="7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cat>
          <c:val>
            <c:numRef>
              <c:f>'02_Growth_Curve'!$B$2:$B$8</c:f>
              <c:numCache>
                <c:formatCode>General</c:formatCode>
                <c:ptCount val="7"/>
                <c:pt idx="0">
                  <c:v>80</c:v>
                </c:pt>
                <c:pt idx="1">
                  <c:v>3573</c:v>
                </c:pt>
                <c:pt idx="2">
                  <c:v>11215</c:v>
                </c:pt>
                <c:pt idx="3">
                  <c:v>21895</c:v>
                </c:pt>
                <c:pt idx="4">
                  <c:v>35196</c:v>
                </c:pt>
                <c:pt idx="5">
                  <c:v>50862</c:v>
                </c:pt>
                <c:pt idx="6">
                  <c:v>68713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FB-49A7-87B6-6F861D456D8A}"/>
            </c:ext>
          </c:extLst>
        </c:ser>
        <c:ser>
          <c:idx val="2"/>
          <c:order val="2"/>
          <c:tx>
            <c:strRef>
              <c:f>'02_Growth_Curve'!$C$1</c:f>
              <c:strCache>
                <c:ptCount val="1"/>
                <c:pt idx="0">
                  <c:v>Total_EXP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'02_Growth_Curve'!$A$2:$A$8</c:f>
              <c:numCache>
                <c:formatCode>General</c:formatCode>
                <c:ptCount val="7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cat>
          <c:val>
            <c:numRef>
              <c:f>'02_Growth_Curve'!$C$2:$C$8</c:f>
              <c:numCache>
                <c:formatCode>General</c:formatCode>
                <c:ptCount val="7"/>
                <c:pt idx="0">
                  <c:v>0</c:v>
                </c:pt>
                <c:pt idx="1">
                  <c:v>12000</c:v>
                </c:pt>
                <c:pt idx="2">
                  <c:v>55000</c:v>
                </c:pt>
                <c:pt idx="3">
                  <c:v>120000</c:v>
                </c:pt>
                <c:pt idx="4">
                  <c:v>220000</c:v>
                </c:pt>
                <c:pt idx="5">
                  <c:v>360000</c:v>
                </c:pt>
                <c:pt idx="6">
                  <c:v>520000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FB-49A7-87B6-6F861D456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4108239"/>
        <c:axId val="374110159"/>
      </c:lineChart>
      <c:lineChart>
        <c:grouping val="standard"/>
        <c:varyColors val="0"/>
        <c:ser>
          <c:idx val="3"/>
          <c:order val="3"/>
          <c:tx>
            <c:strRef>
              <c:f>'02_Growth_Curve'!$D$1</c:f>
              <c:strCache>
                <c:ptCount val="1"/>
                <c:pt idx="0">
                  <c:v>Power_Modifier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'02_Growth_Curve'!$A$2:$A$8</c:f>
              <c:numCache>
                <c:formatCode>General</c:formatCode>
                <c:ptCount val="7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cat>
          <c:val>
            <c:numRef>
              <c:f>'02_Growth_Curve'!$D$2:$D$8</c:f>
              <c:numCache>
                <c:formatCode>General</c:formatCode>
                <c:ptCount val="7"/>
                <c:pt idx="0">
                  <c:v>1</c:v>
                </c:pt>
                <c:pt idx="1">
                  <c:v>1.61</c:v>
                </c:pt>
                <c:pt idx="2">
                  <c:v>2.29</c:v>
                </c:pt>
                <c:pt idx="3">
                  <c:v>2.97</c:v>
                </c:pt>
                <c:pt idx="4">
                  <c:v>3.64</c:v>
                </c:pt>
                <c:pt idx="5">
                  <c:v>4.32</c:v>
                </c:pt>
                <c:pt idx="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FB-49A7-87B6-6F861D456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7836591"/>
        <c:axId val="387837551"/>
      </c:lineChart>
      <c:catAx>
        <c:axId val="37410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374110159"/>
        <c:crosses val="autoZero"/>
        <c:auto val="1"/>
        <c:lblAlgn val="ctr"/>
        <c:lblOffset val="100"/>
        <c:noMultiLvlLbl val="0"/>
      </c:catAx>
      <c:valAx>
        <c:axId val="37411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374108239"/>
        <c:crosses val="autoZero"/>
        <c:crossBetween val="between"/>
      </c:valAx>
      <c:valAx>
        <c:axId val="38783755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387836591"/>
        <c:crosses val="max"/>
        <c:crossBetween val="between"/>
      </c:valAx>
      <c:catAx>
        <c:axId val="3878365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78375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en-US" sz="1100"/>
              <a:t>Normalized Resource Pressure by Progression Stage</a:t>
            </a:r>
            <a:endParaRPr lang="zh-CN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'14_Charts_Workspace'!$F$1</c:f>
              <c:strCache>
                <c:ptCount val="1"/>
                <c:pt idx="0">
                  <c:v>Gold_Days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'14_Charts_Workspace'!$A$2:$A$7</c:f>
              <c:strCache>
                <c:ptCount val="6"/>
                <c:pt idx="0">
                  <c:v>Early I</c:v>
                </c:pt>
                <c:pt idx="1">
                  <c:v>Early II</c:v>
                </c:pt>
                <c:pt idx="2">
                  <c:v>Mid I</c:v>
                </c:pt>
                <c:pt idx="3">
                  <c:v>Mid II</c:v>
                </c:pt>
                <c:pt idx="4">
                  <c:v>Late I</c:v>
                </c:pt>
                <c:pt idx="5">
                  <c:v>Late II</c:v>
                </c:pt>
              </c:strCache>
            </c:strRef>
          </c:cat>
          <c:val>
            <c:numRef>
              <c:f>'14_Charts_Workspace'!$F$2:$F$7</c:f>
              <c:numCache>
                <c:formatCode>General</c:formatCode>
                <c:ptCount val="6"/>
                <c:pt idx="0">
                  <c:v>0.06</c:v>
                </c:pt>
                <c:pt idx="1">
                  <c:v>0.24</c:v>
                </c:pt>
                <c:pt idx="2">
                  <c:v>0.7</c:v>
                </c:pt>
                <c:pt idx="3">
                  <c:v>1.8</c:v>
                </c:pt>
                <c:pt idx="4">
                  <c:v>4.2</c:v>
                </c:pt>
                <c:pt idx="5">
                  <c:v>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7C-4406-8CD7-16A96221204A}"/>
            </c:ext>
          </c:extLst>
        </c:ser>
        <c:ser>
          <c:idx val="5"/>
          <c:order val="5"/>
          <c:tx>
            <c:strRef>
              <c:f>'14_Charts_Workspace'!$G$1</c:f>
              <c:strCache>
                <c:ptCount val="1"/>
                <c:pt idx="0">
                  <c:v>Skill_Book_Days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'14_Charts_Workspace'!$A$2:$A$7</c:f>
              <c:strCache>
                <c:ptCount val="6"/>
                <c:pt idx="0">
                  <c:v>Early I</c:v>
                </c:pt>
                <c:pt idx="1">
                  <c:v>Early II</c:v>
                </c:pt>
                <c:pt idx="2">
                  <c:v>Mid I</c:v>
                </c:pt>
                <c:pt idx="3">
                  <c:v>Mid II</c:v>
                </c:pt>
                <c:pt idx="4">
                  <c:v>Late I</c:v>
                </c:pt>
                <c:pt idx="5">
                  <c:v>Late II</c:v>
                </c:pt>
              </c:strCache>
            </c:strRef>
          </c:cat>
          <c:val>
            <c:numRef>
              <c:f>'14_Charts_Workspace'!$G$2:$G$7</c:f>
              <c:numCache>
                <c:formatCode>General</c:formatCode>
                <c:ptCount val="6"/>
                <c:pt idx="0">
                  <c:v>0.25</c:v>
                </c:pt>
                <c:pt idx="1">
                  <c:v>0.625</c:v>
                </c:pt>
                <c:pt idx="2">
                  <c:v>1.5</c:v>
                </c:pt>
                <c:pt idx="3">
                  <c:v>3.125</c:v>
                </c:pt>
                <c:pt idx="4">
                  <c:v>5.625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7C-4406-8CD7-16A96221204A}"/>
            </c:ext>
          </c:extLst>
        </c:ser>
        <c:ser>
          <c:idx val="6"/>
          <c:order val="6"/>
          <c:tx>
            <c:strRef>
              <c:f>'14_Charts_Workspace'!$H$1</c:f>
              <c:strCache>
                <c:ptCount val="1"/>
                <c:pt idx="0">
                  <c:v>Shard_Days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'14_Charts_Workspace'!$A$2:$A$7</c:f>
              <c:strCache>
                <c:ptCount val="6"/>
                <c:pt idx="0">
                  <c:v>Early I</c:v>
                </c:pt>
                <c:pt idx="1">
                  <c:v>Early II</c:v>
                </c:pt>
                <c:pt idx="2">
                  <c:v>Mid I</c:v>
                </c:pt>
                <c:pt idx="3">
                  <c:v>Mid II</c:v>
                </c:pt>
                <c:pt idx="4">
                  <c:v>Late I</c:v>
                </c:pt>
                <c:pt idx="5">
                  <c:v>Late II</c:v>
                </c:pt>
              </c:strCache>
            </c:strRef>
          </c:cat>
          <c:val>
            <c:numRef>
              <c:f>'14_Charts_Workspace'!$H$2:$H$7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7C-4406-8CD7-16A96221204A}"/>
            </c:ext>
          </c:extLst>
        </c:ser>
        <c:ser>
          <c:idx val="7"/>
          <c:order val="7"/>
          <c:tx>
            <c:strRef>
              <c:f>'14_Charts_Workspace'!$I$1</c:f>
              <c:strCache>
                <c:ptCount val="1"/>
                <c:pt idx="0">
                  <c:v>Equipment_Days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'14_Charts_Workspace'!$A$2:$A$7</c:f>
              <c:strCache>
                <c:ptCount val="6"/>
                <c:pt idx="0">
                  <c:v>Early I</c:v>
                </c:pt>
                <c:pt idx="1">
                  <c:v>Early II</c:v>
                </c:pt>
                <c:pt idx="2">
                  <c:v>Mid I</c:v>
                </c:pt>
                <c:pt idx="3">
                  <c:v>Mid II</c:v>
                </c:pt>
                <c:pt idx="4">
                  <c:v>Late I</c:v>
                </c:pt>
                <c:pt idx="5">
                  <c:v>Late II</c:v>
                </c:pt>
              </c:strCache>
            </c:strRef>
          </c:cat>
          <c:val>
            <c:numRef>
              <c:f>'14_Charts_Workspace'!$I$2:$I$7</c:f>
              <c:numCache>
                <c:formatCode>General</c:formatCode>
                <c:ptCount val="6"/>
                <c:pt idx="0">
                  <c:v>0.125</c:v>
                </c:pt>
                <c:pt idx="1">
                  <c:v>0.375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37C-4406-8CD7-16A962212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0040639"/>
        <c:axId val="33003535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'14_Charts_Workspace'!$B$1</c15:sqref>
                        </c15:formulaRef>
                      </c:ext>
                    </c:extLst>
                    <c:strCache>
                      <c:ptCount val="1"/>
                      <c:pt idx="0">
                        <c:v>Gold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'14_Charts_Workspace'!$A$2:$A$7</c15:sqref>
                        </c15:formulaRef>
                      </c:ext>
                    </c:extLst>
                    <c:strCache>
                      <c:ptCount val="6"/>
                      <c:pt idx="0">
                        <c:v>Early I</c:v>
                      </c:pt>
                      <c:pt idx="1">
                        <c:v>Early II</c:v>
                      </c:pt>
                      <c:pt idx="2">
                        <c:v>Mid I</c:v>
                      </c:pt>
                      <c:pt idx="3">
                        <c:v>Mid II</c:v>
                      </c:pt>
                      <c:pt idx="4">
                        <c:v>Late I</c:v>
                      </c:pt>
                      <c:pt idx="5">
                        <c:v>Late II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'14_Charts_Workspace'!$B$2:$B$7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3000</c:v>
                      </c:pt>
                      <c:pt idx="1">
                        <c:v>12000</c:v>
                      </c:pt>
                      <c:pt idx="2">
                        <c:v>35000</c:v>
                      </c:pt>
                      <c:pt idx="3">
                        <c:v>90000</c:v>
                      </c:pt>
                      <c:pt idx="4">
                        <c:v>210000</c:v>
                      </c:pt>
                      <c:pt idx="5">
                        <c:v>480000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37C-4406-8CD7-16A96221204A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'14_Charts_Workspace'!$C$1</c15:sqref>
                        </c15:formulaRef>
                      </c:ext>
                    </c:extLst>
                    <c:strCache>
                      <c:ptCount val="1"/>
                      <c:pt idx="0">
                        <c:v>Skill_Books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'14_Charts_Workspace'!$A$2:$A$7</c15:sqref>
                        </c15:formulaRef>
                      </c:ext>
                    </c:extLst>
                    <c:strCache>
                      <c:ptCount val="6"/>
                      <c:pt idx="0">
                        <c:v>Early I</c:v>
                      </c:pt>
                      <c:pt idx="1">
                        <c:v>Early II</c:v>
                      </c:pt>
                      <c:pt idx="2">
                        <c:v>Mid I</c:v>
                      </c:pt>
                      <c:pt idx="3">
                        <c:v>Mid II</c:v>
                      </c:pt>
                      <c:pt idx="4">
                        <c:v>Late I</c:v>
                      </c:pt>
                      <c:pt idx="5">
                        <c:v>Late II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'14_Charts_Workspace'!$C$2:$C$7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5</c:v>
                      </c:pt>
                      <c:pt idx="2">
                        <c:v>12</c:v>
                      </c:pt>
                      <c:pt idx="3">
                        <c:v>25</c:v>
                      </c:pt>
                      <c:pt idx="4">
                        <c:v>45</c:v>
                      </c:pt>
                      <c:pt idx="5">
                        <c:v>80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37C-4406-8CD7-16A96221204A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'14_Charts_Workspace'!$D$1</c15:sqref>
                        </c15:formulaRef>
                      </c:ext>
                    </c:extLst>
                    <c:strCache>
                      <c:ptCount val="1"/>
                      <c:pt idx="0">
                        <c:v>Shards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'14_Charts_Workspace'!$A$2:$A$7</c15:sqref>
                        </c15:formulaRef>
                      </c:ext>
                    </c:extLst>
                    <c:strCache>
                      <c:ptCount val="6"/>
                      <c:pt idx="0">
                        <c:v>Early I</c:v>
                      </c:pt>
                      <c:pt idx="1">
                        <c:v>Early II</c:v>
                      </c:pt>
                      <c:pt idx="2">
                        <c:v>Mid I</c:v>
                      </c:pt>
                      <c:pt idx="3">
                        <c:v>Mid II</c:v>
                      </c:pt>
                      <c:pt idx="4">
                        <c:v>Late I</c:v>
                      </c:pt>
                      <c:pt idx="5">
                        <c:v>Late II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'14_Charts_Workspace'!$D$2:$D$7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20</c:v>
                      </c:pt>
                      <c:pt idx="3">
                        <c:v>40</c:v>
                      </c:pt>
                      <c:pt idx="4">
                        <c:v>80</c:v>
                      </c:pt>
                      <c:pt idx="5">
                        <c:v>120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A37C-4406-8CD7-16A96221204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'14_Charts_Workspace'!$E$1</c15:sqref>
                        </c15:formulaRef>
                      </c:ext>
                    </c:extLst>
                    <c:strCache>
                      <c:ptCount val="1"/>
                      <c:pt idx="0">
                        <c:v>Equipment_Materials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'14_Charts_Workspace'!$A$2:$A$7</c15:sqref>
                        </c15:formulaRef>
                      </c:ext>
                    </c:extLst>
                    <c:strCache>
                      <c:ptCount val="6"/>
                      <c:pt idx="0">
                        <c:v>Early I</c:v>
                      </c:pt>
                      <c:pt idx="1">
                        <c:v>Early II</c:v>
                      </c:pt>
                      <c:pt idx="2">
                        <c:v>Mid I</c:v>
                      </c:pt>
                      <c:pt idx="3">
                        <c:v>Mid II</c:v>
                      </c:pt>
                      <c:pt idx="4">
                        <c:v>Late I</c:v>
                      </c:pt>
                      <c:pt idx="5">
                        <c:v>Late II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'14_Charts_Workspace'!$E$2:$E$7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10</c:v>
                      </c:pt>
                      <c:pt idx="1">
                        <c:v>30</c:v>
                      </c:pt>
                      <c:pt idx="2">
                        <c:v>80</c:v>
                      </c:pt>
                      <c:pt idx="3">
                        <c:v>160</c:v>
                      </c:pt>
                      <c:pt idx="4">
                        <c:v>320</c:v>
                      </c:pt>
                      <c:pt idx="5">
                        <c:v>600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A37C-4406-8CD7-16A96221204A}"/>
                  </c:ext>
                </c:extLst>
              </c15:ser>
            </c15:filteredBarSeries>
          </c:ext>
        </c:extLst>
      </c:barChart>
      <c:catAx>
        <c:axId val="33004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330035359"/>
        <c:crosses val="autoZero"/>
        <c:auto val="1"/>
        <c:lblAlgn val="ctr"/>
        <c:lblOffset val="100"/>
        <c:noMultiLvlLbl val="0"/>
      </c:catAx>
      <c:valAx>
        <c:axId val="33003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33004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'14_Charts_Workspace'!$B$12</c:f>
              <c:strCache>
                <c:ptCount val="1"/>
                <c:pt idx="0">
                  <c:v>Defense_Reduction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'14_Charts_Workspace'!$A$13:$A$24</c:f>
              <c:numCache>
                <c:formatCode>General</c:formatCode>
                <c:ptCount val="12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1600</c:v>
                </c:pt>
                <c:pt idx="8">
                  <c:v>2000</c:v>
                </c:pt>
                <c:pt idx="9">
                  <c:v>2400</c:v>
                </c:pt>
                <c:pt idx="10">
                  <c:v>3000</c:v>
                </c:pt>
                <c:pt idx="11">
                  <c:v>4000</c:v>
                </c:pt>
              </c:numCache>
            </c:numRef>
          </c:xVal>
          <c:yVal>
            <c:numRef>
              <c:f>'14_Charts_Workspace'!$B$13:$B$24</c:f>
              <c:numCache>
                <c:formatCode>0.00%</c:formatCode>
                <c:ptCount val="12"/>
                <c:pt idx="0">
                  <c:v>0</c:v>
                </c:pt>
                <c:pt idx="1">
                  <c:v>0.14285714285714285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</c:v>
                </c:pt>
                <c:pt idx="5">
                  <c:v>0.45454545454545453</c:v>
                </c:pt>
                <c:pt idx="6">
                  <c:v>0.5</c:v>
                </c:pt>
                <c:pt idx="7">
                  <c:v>0.5714285714285714</c:v>
                </c:pt>
                <c:pt idx="8">
                  <c:v>0.625</c:v>
                </c:pt>
                <c:pt idx="9">
                  <c:v>0.66666666666666663</c:v>
                </c:pt>
                <c:pt idx="10">
                  <c:v>0.7142857142857143</c:v>
                </c:pt>
                <c:pt idx="11">
                  <c:v>0.76923076923076927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C9-4619-ADB1-DD0991A6E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066639"/>
        <c:axId val="364065199"/>
      </c:scatterChart>
      <c:valAx>
        <c:axId val="364066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364065199"/>
        <c:crosses val="autoZero"/>
        <c:crossBetween val="midCat"/>
      </c:valAx>
      <c:valAx>
        <c:axId val="36406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364066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en-US"/>
              <a:t>Critical Expected Value Scaling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'14_Charts_Workspace'!$B$27</c:f>
              <c:strCache>
                <c:ptCount val="1"/>
                <c:pt idx="0">
                  <c:v>50% Crit_DMG_Bonus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'14_Charts_Workspace'!$A$28:$A$38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'14_Charts_Workspace'!$B$28:$B$38</c:f>
              <c:numCache>
                <c:formatCode>0%</c:formatCode>
                <c:ptCount val="11"/>
                <c:pt idx="0">
                  <c:v>1</c:v>
                </c:pt>
                <c:pt idx="1">
                  <c:v>1.05</c:v>
                </c:pt>
                <c:pt idx="2">
                  <c:v>1.1000000000000001</c:v>
                </c:pt>
                <c:pt idx="3">
                  <c:v>1.1499999999999999</c:v>
                </c:pt>
                <c:pt idx="4">
                  <c:v>1.2</c:v>
                </c:pt>
                <c:pt idx="5">
                  <c:v>1.25</c:v>
                </c:pt>
                <c:pt idx="6">
                  <c:v>1.3</c:v>
                </c:pt>
                <c:pt idx="7">
                  <c:v>1.35</c:v>
                </c:pt>
                <c:pt idx="8">
                  <c:v>1.4</c:v>
                </c:pt>
                <c:pt idx="9">
                  <c:v>1.45</c:v>
                </c:pt>
                <c:pt idx="10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3C-4F85-8BB8-E1737CC027D6}"/>
            </c:ext>
          </c:extLst>
        </c:ser>
        <c:ser>
          <c:idx val="1"/>
          <c:order val="1"/>
          <c:tx>
            <c:strRef>
              <c:f>'14_Charts_Workspace'!$C$27</c:f>
              <c:strCache>
                <c:ptCount val="1"/>
                <c:pt idx="0">
                  <c:v>80% Crit_DMG_Bonus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'14_Charts_Workspace'!$A$28:$A$38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'14_Charts_Workspace'!$C$28:$C$38</c:f>
              <c:numCache>
                <c:formatCode>0%</c:formatCode>
                <c:ptCount val="11"/>
                <c:pt idx="0">
                  <c:v>1</c:v>
                </c:pt>
                <c:pt idx="1">
                  <c:v>1.08</c:v>
                </c:pt>
                <c:pt idx="2">
                  <c:v>1.1600000000000001</c:v>
                </c:pt>
                <c:pt idx="3">
                  <c:v>1.24</c:v>
                </c:pt>
                <c:pt idx="4">
                  <c:v>1.32</c:v>
                </c:pt>
                <c:pt idx="5">
                  <c:v>1.4</c:v>
                </c:pt>
                <c:pt idx="6">
                  <c:v>1.48</c:v>
                </c:pt>
                <c:pt idx="7">
                  <c:v>1.56</c:v>
                </c:pt>
                <c:pt idx="8">
                  <c:v>1.6400000000000001</c:v>
                </c:pt>
                <c:pt idx="9">
                  <c:v>1.7200000000000002</c:v>
                </c:pt>
                <c:pt idx="10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3C-4F85-8BB8-E1737CC027D6}"/>
            </c:ext>
          </c:extLst>
        </c:ser>
        <c:ser>
          <c:idx val="2"/>
          <c:order val="2"/>
          <c:tx>
            <c:strRef>
              <c:f>'14_Charts_Workspace'!$D$27</c:f>
              <c:strCache>
                <c:ptCount val="1"/>
                <c:pt idx="0">
                  <c:v>100% Crit_DMG_Bonus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'14_Charts_Workspace'!$A$28:$A$38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'14_Charts_Workspace'!$D$28:$D$38</c:f>
              <c:numCache>
                <c:formatCode>0%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3C-4F85-8BB8-E1737CC02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6012799"/>
        <c:axId val="386013759"/>
      </c:lineChart>
      <c:catAx>
        <c:axId val="386012799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386013759"/>
        <c:crosses val="autoZero"/>
        <c:auto val="1"/>
        <c:lblAlgn val="ctr"/>
        <c:lblOffset val="100"/>
        <c:noMultiLvlLbl val="0"/>
      </c:catAx>
      <c:valAx>
        <c:axId val="386013759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38601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en-US"/>
              <a:t>Team Evaluation Radar: Role Coverage Beyond Power Score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'08_Team_Evaluation'!$A$2:$C$2</c:f>
              <c:strCache>
                <c:ptCount val="3"/>
                <c:pt idx="0">
                  <c:v>Burst Team</c:v>
                </c:pt>
                <c:pt idx="1">
                  <c:v>120000</c:v>
                </c:pt>
                <c:pt idx="2">
                  <c:v>Burst and execution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'08_Team_Evaluation'!$D$1:$J$1</c15:sqref>
                  </c15:fullRef>
                </c:ext>
              </c:extLst>
              <c:f>'08_Team_Evaluation'!$D$1:$I$1</c:f>
              <c:strCache>
                <c:ptCount val="6"/>
                <c:pt idx="0">
                  <c:v>DPS</c:v>
                </c:pt>
                <c:pt idx="1">
                  <c:v>Survival</c:v>
                </c:pt>
                <c:pt idx="2">
                  <c:v>Control</c:v>
                </c:pt>
                <c:pt idx="3">
                  <c:v>Healing</c:v>
                </c:pt>
                <c:pt idx="4">
                  <c:v>Energy</c:v>
                </c:pt>
                <c:pt idx="5">
                  <c:v>Synergy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'08_Team_Evaluation'!$D$2:$J$2</c15:sqref>
                  </c15:fullRef>
                </c:ext>
              </c:extLst>
              <c:f>'08_Team_Evaluation'!$D$2:$I$2</c:f>
              <c:numCache>
                <c:formatCode>General</c:formatCode>
                <c:ptCount val="6"/>
                <c:pt idx="0">
                  <c:v>95</c:v>
                </c:pt>
                <c:pt idx="1">
                  <c:v>55</c:v>
                </c:pt>
                <c:pt idx="2">
                  <c:v>40</c:v>
                </c:pt>
                <c:pt idx="3">
                  <c:v>30</c:v>
                </c:pt>
                <c:pt idx="4">
                  <c:v>70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5F-4BE6-9EB5-DA5B0AAC3328}"/>
            </c:ext>
          </c:extLst>
        </c:ser>
        <c:ser>
          <c:idx val="1"/>
          <c:order val="1"/>
          <c:tx>
            <c:strRef>
              <c:f>'08_Team_Evaluation'!$A$3:$C$3</c:f>
              <c:strCache>
                <c:ptCount val="3"/>
                <c:pt idx="0">
                  <c:v>Sustain Team</c:v>
                </c:pt>
                <c:pt idx="1">
                  <c:v>115000</c:v>
                </c:pt>
                <c:pt idx="2">
                  <c:v>Tank and healer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'08_Team_Evaluation'!$D$1:$J$1</c15:sqref>
                  </c15:fullRef>
                </c:ext>
              </c:extLst>
              <c:f>'08_Team_Evaluation'!$D$1:$I$1</c:f>
              <c:strCache>
                <c:ptCount val="6"/>
                <c:pt idx="0">
                  <c:v>DPS</c:v>
                </c:pt>
                <c:pt idx="1">
                  <c:v>Survival</c:v>
                </c:pt>
                <c:pt idx="2">
                  <c:v>Control</c:v>
                </c:pt>
                <c:pt idx="3">
                  <c:v>Healing</c:v>
                </c:pt>
                <c:pt idx="4">
                  <c:v>Energy</c:v>
                </c:pt>
                <c:pt idx="5">
                  <c:v>Synergy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'08_Team_Evaluation'!$D$3:$J$3</c15:sqref>
                  </c15:fullRef>
                </c:ext>
              </c:extLst>
              <c:f>'08_Team_Evaluation'!$D$3:$I$3</c:f>
              <c:numCache>
                <c:formatCode>General</c:formatCode>
                <c:ptCount val="6"/>
                <c:pt idx="0">
                  <c:v>55</c:v>
                </c:pt>
                <c:pt idx="1">
                  <c:v>95</c:v>
                </c:pt>
                <c:pt idx="2">
                  <c:v>45</c:v>
                </c:pt>
                <c:pt idx="3">
                  <c:v>90</c:v>
                </c:pt>
                <c:pt idx="4">
                  <c:v>50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5F-4BE6-9EB5-DA5B0AAC3328}"/>
            </c:ext>
          </c:extLst>
        </c:ser>
        <c:ser>
          <c:idx val="2"/>
          <c:order val="2"/>
          <c:tx>
            <c:strRef>
              <c:f>'08_Team_Evaluation'!$A$4:$C$4</c:f>
              <c:strCache>
                <c:ptCount val="3"/>
                <c:pt idx="0">
                  <c:v>Control Team</c:v>
                </c:pt>
                <c:pt idx="1">
                  <c:v>110000</c:v>
                </c:pt>
                <c:pt idx="2">
                  <c:v>Control cycle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'08_Team_Evaluation'!$D$1:$J$1</c15:sqref>
                  </c15:fullRef>
                </c:ext>
              </c:extLst>
              <c:f>'08_Team_Evaluation'!$D$1:$I$1</c:f>
              <c:strCache>
                <c:ptCount val="6"/>
                <c:pt idx="0">
                  <c:v>DPS</c:v>
                </c:pt>
                <c:pt idx="1">
                  <c:v>Survival</c:v>
                </c:pt>
                <c:pt idx="2">
                  <c:v>Control</c:v>
                </c:pt>
                <c:pt idx="3">
                  <c:v>Healing</c:v>
                </c:pt>
                <c:pt idx="4">
                  <c:v>Energy</c:v>
                </c:pt>
                <c:pt idx="5">
                  <c:v>Synergy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'08_Team_Evaluation'!$D$4:$J$4</c15:sqref>
                  </c15:fullRef>
                </c:ext>
              </c:extLst>
              <c:f>'08_Team_Evaluation'!$D$4:$I$4</c:f>
              <c:numCache>
                <c:formatCode>General</c:formatCode>
                <c:ptCount val="6"/>
                <c:pt idx="0">
                  <c:v>65</c:v>
                </c:pt>
                <c:pt idx="1">
                  <c:v>60</c:v>
                </c:pt>
                <c:pt idx="2">
                  <c:v>95</c:v>
                </c:pt>
                <c:pt idx="3">
                  <c:v>45</c:v>
                </c:pt>
                <c:pt idx="4">
                  <c:v>75</c:v>
                </c:pt>
                <c:pt idx="5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5F-4BE6-9EB5-DA5B0AAC3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634575"/>
        <c:axId val="383637935"/>
        <c:extLst>
          <c:ext xmlns:c15="http://schemas.microsoft.com/office/drawing/2012/chart" uri="{02D57815-91ED-43cb-92C2-25804820EDAC}">
            <c15:filteredRad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'08_Team_Evaluation'!$A$5:$C$5</c15:sqref>
                        </c15:formulaRef>
                      </c:ext>
                    </c:extLst>
                    <c:strCache>
                      <c:ptCount val="3"/>
                      <c:pt idx="0">
                        <c:v>DOT Team</c:v>
                      </c:pt>
                      <c:pt idx="1">
                        <c:v>108000</c:v>
                      </c:pt>
                      <c:pt idx="2">
                        <c:v>Long fight DPS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'08_Team_Evaluation'!$D$1:$J$1</c15:sqref>
                        </c15:fullRef>
                        <c15:formulaRef>
                          <c15:sqref>'08_Team_Evaluation'!$D$1:$I$1</c15:sqref>
                        </c15:formulaRef>
                      </c:ext>
                    </c:extLst>
                    <c:strCache>
                      <c:ptCount val="6"/>
                      <c:pt idx="0">
                        <c:v>DPS</c:v>
                      </c:pt>
                      <c:pt idx="1">
                        <c:v>Survival</c:v>
                      </c:pt>
                      <c:pt idx="2">
                        <c:v>Control</c:v>
                      </c:pt>
                      <c:pt idx="3">
                        <c:v>Healing</c:v>
                      </c:pt>
                      <c:pt idx="4">
                        <c:v>Energy</c:v>
                      </c:pt>
                      <c:pt idx="5">
                        <c:v>Synergy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'08_Team_Evaluation'!$D$5:$J$5</c15:sqref>
                        </c15:fullRef>
                        <c15:formulaRef>
                          <c15:sqref>'08_Team_Evaluation'!$D$5:$I$5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80</c:v>
                      </c:pt>
                      <c:pt idx="1">
                        <c:v>70</c:v>
                      </c:pt>
                      <c:pt idx="2">
                        <c:v>50</c:v>
                      </c:pt>
                      <c:pt idx="3">
                        <c:v>60</c:v>
                      </c:pt>
                      <c:pt idx="4">
                        <c:v>65</c:v>
                      </c:pt>
                      <c:pt idx="5">
                        <c:v>90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765F-4BE6-9EB5-DA5B0AAC3328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'08_Team_Evaluation'!$A$6:$C$6</c15:sqref>
                        </c15:formulaRef>
                      </c:ext>
                    </c:extLst>
                    <c:strCache>
                      <c:ptCount val="3"/>
                      <c:pt idx="0">
                        <c:v>Balanced Team</c:v>
                      </c:pt>
                      <c:pt idx="1">
                        <c:v>118000</c:v>
                      </c:pt>
                      <c:pt idx="2">
                        <c:v>General purpose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'08_Team_Evaluation'!$D$1:$J$1</c15:sqref>
                        </c15:fullRef>
                        <c15:formulaRef>
                          <c15:sqref>'08_Team_Evaluation'!$D$1:$I$1</c15:sqref>
                        </c15:formulaRef>
                      </c:ext>
                    </c:extLst>
                    <c:strCache>
                      <c:ptCount val="6"/>
                      <c:pt idx="0">
                        <c:v>DPS</c:v>
                      </c:pt>
                      <c:pt idx="1">
                        <c:v>Survival</c:v>
                      </c:pt>
                      <c:pt idx="2">
                        <c:v>Control</c:v>
                      </c:pt>
                      <c:pt idx="3">
                        <c:v>Healing</c:v>
                      </c:pt>
                      <c:pt idx="4">
                        <c:v>Energy</c:v>
                      </c:pt>
                      <c:pt idx="5">
                        <c:v>Synergy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'08_Team_Evaluation'!$D$6:$J$6</c15:sqref>
                        </c15:fullRef>
                        <c15:formulaRef>
                          <c15:sqref>'08_Team_Evaluation'!$D$6:$I$6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75</c:v>
                      </c:pt>
                      <c:pt idx="1">
                        <c:v>75</c:v>
                      </c:pt>
                      <c:pt idx="2">
                        <c:v>65</c:v>
                      </c:pt>
                      <c:pt idx="3">
                        <c:v>65</c:v>
                      </c:pt>
                      <c:pt idx="4">
                        <c:v>65</c:v>
                      </c:pt>
                      <c:pt idx="5">
                        <c:v>75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765F-4BE6-9EB5-DA5B0AAC3328}"/>
                  </c:ext>
                </c:extLst>
              </c15:ser>
            </c15:filteredRadarSeries>
          </c:ext>
        </c:extLst>
      </c:radarChart>
      <c:catAx>
        <c:axId val="38363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383637935"/>
        <c:crosses val="autoZero"/>
        <c:auto val="1"/>
        <c:lblAlgn val="ctr"/>
        <c:lblOffset val="100"/>
        <c:noMultiLvlLbl val="0"/>
      </c:catAx>
      <c:valAx>
        <c:axId val="38363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38363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0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</xdr:colOff>
      <xdr:row>8</xdr:row>
      <xdr:rowOff>85725</xdr:rowOff>
    </xdr:from>
    <xdr:to>
      <xdr:col>6</xdr:col>
      <xdr:colOff>481012</xdr:colOff>
      <xdr:row>23</xdr:row>
      <xdr:rowOff>114300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A97AB53D-75FA-B5A1-F637-CE2FB74AA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528636</xdr:colOff>
      <xdr:row>11</xdr:row>
      <xdr:rowOff>142875</xdr:rowOff>
    </xdr:from>
    <xdr:to>
      <xdr:col>14</xdr:col>
      <xdr:colOff>323850</xdr:colOff>
      <xdr:row>45</xdr:row>
      <xdr:rowOff>104775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A8BBFA5-A75C-066E-E77F-33D5EE236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323850</xdr:colOff>
      <xdr:row>0</xdr:row>
      <xdr:rowOff>95250</xdr:rowOff>
    </xdr:from>
    <xdr:to>
      <xdr:col>28</xdr:col>
      <xdr:colOff>95250</xdr:colOff>
      <xdr:row>11</xdr:row>
      <xdr:rowOff>123825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943AAEE-AD31-4CE5-9C8C-166462CE7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128587</xdr:colOff>
      <xdr:row>0</xdr:row>
      <xdr:rowOff>76200</xdr:rowOff>
    </xdr:from>
    <xdr:to>
      <xdr:col>20</xdr:col>
      <xdr:colOff>585787</xdr:colOff>
      <xdr:row>11</xdr:row>
      <xdr:rowOff>104775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F9E1D6BA-9C9C-86A7-4829-10A4BC351A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138112</xdr:colOff>
      <xdr:row>12</xdr:row>
      <xdr:rowOff>85725</xdr:rowOff>
    </xdr:from>
    <xdr:to>
      <xdr:col>20</xdr:col>
      <xdr:colOff>595312</xdr:colOff>
      <xdr:row>27</xdr:row>
      <xdr:rowOff>114300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B22FA15E-DDD5-52DA-BC2A-66A84407B6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147637</xdr:colOff>
      <xdr:row>28</xdr:row>
      <xdr:rowOff>38100</xdr:rowOff>
    </xdr:from>
    <xdr:to>
      <xdr:col>20</xdr:col>
      <xdr:colOff>604837</xdr:colOff>
      <xdr:row>43</xdr:row>
      <xdr:rowOff>66675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729837F2-5D98-34E8-50FC-5612473FF8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342900</xdr:colOff>
      <xdr:row>12</xdr:row>
      <xdr:rowOff>104775</xdr:rowOff>
    </xdr:from>
    <xdr:to>
      <xdr:col>31</xdr:col>
      <xdr:colOff>138114</xdr:colOff>
      <xdr:row>46</xdr:row>
      <xdr:rowOff>66675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5D1F7C7F-7937-4A9E-9513-46784366FA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79EDC-18A6-4577-A13D-E07A21A74D29}">
  <dimension ref="A1:O4"/>
  <sheetViews>
    <sheetView workbookViewId="0"/>
  </sheetViews>
  <sheetFormatPr defaultRowHeight="14.25" x14ac:dyDescent="0.2"/>
  <sheetData>
    <row r="1" spans="1:15" x14ac:dyDescent="0.2">
      <c r="A1" t="s">
        <v>68</v>
      </c>
      <c r="B1" t="s">
        <v>329</v>
      </c>
      <c r="C1" t="s">
        <v>91</v>
      </c>
      <c r="D1" t="s">
        <v>330</v>
      </c>
      <c r="E1" t="s">
        <v>331</v>
      </c>
      <c r="F1" t="s">
        <v>332</v>
      </c>
      <c r="G1" t="s">
        <v>333</v>
      </c>
      <c r="H1" t="s">
        <v>94</v>
      </c>
      <c r="I1" t="s">
        <v>95</v>
      </c>
      <c r="J1" t="s">
        <v>96</v>
      </c>
      <c r="K1" t="s">
        <v>334</v>
      </c>
      <c r="L1" t="s">
        <v>335</v>
      </c>
      <c r="M1" t="s">
        <v>336</v>
      </c>
      <c r="N1" t="s">
        <v>337</v>
      </c>
      <c r="O1" t="s">
        <v>78</v>
      </c>
    </row>
    <row r="2" spans="1:15" x14ac:dyDescent="0.2">
      <c r="A2" t="s">
        <v>104</v>
      </c>
      <c r="B2" t="s">
        <v>338</v>
      </c>
      <c r="C2" t="s">
        <v>339</v>
      </c>
      <c r="D2" t="s">
        <v>340</v>
      </c>
      <c r="E2" t="s">
        <v>341</v>
      </c>
      <c r="F2" t="s">
        <v>342</v>
      </c>
      <c r="G2" t="s">
        <v>343</v>
      </c>
      <c r="H2">
        <v>900</v>
      </c>
      <c r="I2">
        <v>140</v>
      </c>
      <c r="J2">
        <v>45</v>
      </c>
      <c r="K2">
        <v>112</v>
      </c>
      <c r="L2" s="1">
        <v>0.1</v>
      </c>
      <c r="M2" s="1">
        <v>1.5</v>
      </c>
      <c r="N2" t="s">
        <v>344</v>
      </c>
      <c r="O2" t="s">
        <v>345</v>
      </c>
    </row>
    <row r="3" spans="1:15" x14ac:dyDescent="0.2">
      <c r="A3" t="s">
        <v>107</v>
      </c>
      <c r="B3" t="s">
        <v>346</v>
      </c>
      <c r="C3" t="s">
        <v>347</v>
      </c>
      <c r="D3" t="s">
        <v>348</v>
      </c>
      <c r="E3" t="s">
        <v>341</v>
      </c>
      <c r="F3" t="s">
        <v>349</v>
      </c>
      <c r="G3" t="s">
        <v>350</v>
      </c>
      <c r="H3">
        <v>760</v>
      </c>
      <c r="I3">
        <v>155</v>
      </c>
      <c r="J3">
        <v>35</v>
      </c>
      <c r="K3">
        <v>100</v>
      </c>
      <c r="L3" s="1">
        <v>0.05</v>
      </c>
      <c r="M3" s="1">
        <v>1.5</v>
      </c>
      <c r="N3" t="s">
        <v>351</v>
      </c>
      <c r="O3" t="s">
        <v>352</v>
      </c>
    </row>
    <row r="4" spans="1:15" x14ac:dyDescent="0.2">
      <c r="A4" t="s">
        <v>108</v>
      </c>
      <c r="B4" t="s">
        <v>353</v>
      </c>
      <c r="C4" t="s">
        <v>354</v>
      </c>
      <c r="D4" t="s">
        <v>355</v>
      </c>
      <c r="E4" t="s">
        <v>341</v>
      </c>
      <c r="F4" t="s">
        <v>356</v>
      </c>
      <c r="G4" t="s">
        <v>357</v>
      </c>
      <c r="H4">
        <v>1000</v>
      </c>
      <c r="I4">
        <v>100</v>
      </c>
      <c r="J4">
        <v>50</v>
      </c>
      <c r="K4">
        <v>98</v>
      </c>
      <c r="L4" s="1">
        <v>0.05</v>
      </c>
      <c r="M4" s="1">
        <v>1.5</v>
      </c>
      <c r="N4" t="s">
        <v>358</v>
      </c>
      <c r="O4" t="s">
        <v>359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BCFC6-606E-4CFE-9707-A269794BD2EE}">
  <dimension ref="A1:E8"/>
  <sheetViews>
    <sheetView workbookViewId="0">
      <selection activeCell="J14" sqref="J14"/>
    </sheetView>
  </sheetViews>
  <sheetFormatPr defaultRowHeight="14.25" x14ac:dyDescent="0.2"/>
  <sheetData>
    <row r="1" spans="1:5" x14ac:dyDescent="0.2">
      <c r="A1" t="s">
        <v>8</v>
      </c>
      <c r="B1" t="s">
        <v>328</v>
      </c>
      <c r="C1" t="s">
        <v>9</v>
      </c>
      <c r="D1" t="s">
        <v>13</v>
      </c>
      <c r="E1" t="s">
        <v>17</v>
      </c>
    </row>
    <row r="2" spans="1:5" x14ac:dyDescent="0.2">
      <c r="A2">
        <v>1</v>
      </c>
      <c r="B2">
        <f>ROUND(80*POWER(A2,1.65),0)</f>
        <v>80</v>
      </c>
      <c r="C2">
        <v>0</v>
      </c>
      <c r="D2">
        <f>ROUND(1+((A2-1)/(60-1))*4,2)</f>
        <v>1</v>
      </c>
      <c r="E2" t="str">
        <f>IF(A2&lt;=20,"Early",IF(A2&lt;=40,"Mid","Late"))</f>
        <v>Early</v>
      </c>
    </row>
    <row r="3" spans="1:5" x14ac:dyDescent="0.2">
      <c r="A3">
        <v>10</v>
      </c>
      <c r="B3">
        <f>ROUND(80*POWER(A3,1.65),0)</f>
        <v>3573</v>
      </c>
      <c r="C3">
        <v>12000</v>
      </c>
      <c r="D3">
        <f>ROUND(1+((A3-1)/(60-1))*4,2)</f>
        <v>1.61</v>
      </c>
      <c r="E3" t="str">
        <f>IF(A3&lt;=20,"Early",IF(A3&lt;=40,"Mid","Late"))</f>
        <v>Early</v>
      </c>
    </row>
    <row r="4" spans="1:5" x14ac:dyDescent="0.2">
      <c r="A4">
        <v>20</v>
      </c>
      <c r="B4">
        <f>ROUND(80*POWER(A4,1.65),0)</f>
        <v>11215</v>
      </c>
      <c r="C4">
        <v>55000</v>
      </c>
      <c r="D4">
        <f>ROUND(1+((A4-1)/(60-1))*4,2)</f>
        <v>2.29</v>
      </c>
      <c r="E4" t="str">
        <f>IF(A4&lt;=20,"Early",IF(A4&lt;=40,"Mid","Late"))</f>
        <v>Early</v>
      </c>
    </row>
    <row r="5" spans="1:5" x14ac:dyDescent="0.2">
      <c r="A5">
        <v>30</v>
      </c>
      <c r="B5">
        <f>ROUND(80*POWER(A5,1.65),0)</f>
        <v>21895</v>
      </c>
      <c r="C5">
        <v>120000</v>
      </c>
      <c r="D5">
        <f>ROUND(1+((A5-1)/(60-1))*4,2)</f>
        <v>2.97</v>
      </c>
      <c r="E5" t="str">
        <f>IF(A5&lt;=20,"Early",IF(A5&lt;=40,"Mid","Late"))</f>
        <v>Mid</v>
      </c>
    </row>
    <row r="6" spans="1:5" x14ac:dyDescent="0.2">
      <c r="A6">
        <v>40</v>
      </c>
      <c r="B6">
        <f>ROUND(80*POWER(A6,1.65),0)</f>
        <v>35196</v>
      </c>
      <c r="C6">
        <v>220000</v>
      </c>
      <c r="D6">
        <f>ROUND(1+((A6-1)/(60-1))*4,2)</f>
        <v>3.64</v>
      </c>
      <c r="E6" t="str">
        <f>IF(A6&lt;=20,"Early",IF(A6&lt;=40,"Mid","Late"))</f>
        <v>Mid</v>
      </c>
    </row>
    <row r="7" spans="1:5" x14ac:dyDescent="0.2">
      <c r="A7">
        <v>50</v>
      </c>
      <c r="B7">
        <f>ROUND(80*POWER(A7,1.65),0)</f>
        <v>50862</v>
      </c>
      <c r="C7">
        <v>360000</v>
      </c>
      <c r="D7">
        <f>ROUND(1+((A7-1)/(60-1))*4,2)</f>
        <v>4.32</v>
      </c>
      <c r="E7" t="str">
        <f>IF(A7&lt;=20,"Early",IF(A7&lt;=40,"Mid","Late"))</f>
        <v>Late</v>
      </c>
    </row>
    <row r="8" spans="1:5" x14ac:dyDescent="0.2">
      <c r="A8">
        <v>60</v>
      </c>
      <c r="B8">
        <f>ROUND(80*POWER(A8,1.65),0)</f>
        <v>68713</v>
      </c>
      <c r="C8">
        <v>520000</v>
      </c>
      <c r="D8">
        <f>ROUND(1+((A8-1)/(60-1))*4,2)</f>
        <v>5</v>
      </c>
      <c r="E8" t="str">
        <f>IF(A8&lt;=20,"Early",IF(A8&lt;=40,"Mid","Late"))</f>
        <v>Late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D4111-7313-4445-9BFD-7EADF44CE1E0}">
  <dimension ref="A1:H6"/>
  <sheetViews>
    <sheetView workbookViewId="0"/>
  </sheetViews>
  <sheetFormatPr defaultRowHeight="14.25" x14ac:dyDescent="0.2"/>
  <sheetData>
    <row r="1" spans="1:8" x14ac:dyDescent="0.2">
      <c r="A1" t="s">
        <v>93</v>
      </c>
      <c r="B1" t="s">
        <v>310</v>
      </c>
      <c r="C1" t="s">
        <v>311</v>
      </c>
      <c r="D1" t="s">
        <v>312</v>
      </c>
      <c r="E1" t="s">
        <v>313</v>
      </c>
      <c r="F1" t="s">
        <v>314</v>
      </c>
      <c r="G1" t="s">
        <v>315</v>
      </c>
      <c r="H1" t="s">
        <v>316</v>
      </c>
    </row>
    <row r="2" spans="1:8" x14ac:dyDescent="0.2">
      <c r="A2" t="s">
        <v>317</v>
      </c>
      <c r="B2">
        <v>1</v>
      </c>
      <c r="C2">
        <v>20</v>
      </c>
      <c r="D2">
        <v>0</v>
      </c>
      <c r="E2" t="s">
        <v>256</v>
      </c>
      <c r="F2">
        <v>0</v>
      </c>
      <c r="G2" s="1">
        <v>0</v>
      </c>
      <c r="H2" t="s">
        <v>318</v>
      </c>
    </row>
    <row r="3" spans="1:8" x14ac:dyDescent="0.2">
      <c r="A3" t="s">
        <v>105</v>
      </c>
      <c r="B3">
        <v>20</v>
      </c>
      <c r="C3">
        <v>30</v>
      </c>
      <c r="D3">
        <v>12000</v>
      </c>
      <c r="E3" t="s">
        <v>319</v>
      </c>
      <c r="F3">
        <v>5</v>
      </c>
      <c r="G3" s="1">
        <v>0.05</v>
      </c>
      <c r="H3" t="s">
        <v>320</v>
      </c>
    </row>
    <row r="4" spans="1:8" x14ac:dyDescent="0.2">
      <c r="A4" t="s">
        <v>321</v>
      </c>
      <c r="B4">
        <v>30</v>
      </c>
      <c r="C4">
        <v>40</v>
      </c>
      <c r="D4">
        <v>35000</v>
      </c>
      <c r="E4" t="s">
        <v>319</v>
      </c>
      <c r="F4">
        <v>15</v>
      </c>
      <c r="G4" s="1">
        <v>0.08</v>
      </c>
      <c r="H4" t="s">
        <v>322</v>
      </c>
    </row>
    <row r="5" spans="1:8" x14ac:dyDescent="0.2">
      <c r="A5" t="s">
        <v>323</v>
      </c>
      <c r="B5">
        <v>40</v>
      </c>
      <c r="C5">
        <v>50</v>
      </c>
      <c r="D5">
        <v>90000</v>
      </c>
      <c r="E5" t="s">
        <v>324</v>
      </c>
      <c r="F5">
        <v>35</v>
      </c>
      <c r="G5" s="1">
        <v>0.12</v>
      </c>
      <c r="H5" t="s">
        <v>325</v>
      </c>
    </row>
    <row r="6" spans="1:8" x14ac:dyDescent="0.2">
      <c r="A6" t="s">
        <v>106</v>
      </c>
      <c r="B6">
        <v>50</v>
      </c>
      <c r="C6">
        <v>60</v>
      </c>
      <c r="D6">
        <v>210000</v>
      </c>
      <c r="E6" t="s">
        <v>326</v>
      </c>
      <c r="F6">
        <v>50</v>
      </c>
      <c r="G6" s="1">
        <v>0.15</v>
      </c>
      <c r="H6" t="s">
        <v>327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D3074-BCE1-4C8B-8899-7900CA561B1E}">
  <dimension ref="A1:G7"/>
  <sheetViews>
    <sheetView workbookViewId="0"/>
  </sheetViews>
  <sheetFormatPr defaultRowHeight="14.25" x14ac:dyDescent="0.2"/>
  <sheetData>
    <row r="1" spans="1:7" x14ac:dyDescent="0.2">
      <c r="A1" t="s">
        <v>92</v>
      </c>
      <c r="B1" t="s">
        <v>295</v>
      </c>
      <c r="C1" t="s">
        <v>296</v>
      </c>
      <c r="D1" t="s">
        <v>297</v>
      </c>
      <c r="E1" t="s">
        <v>298</v>
      </c>
      <c r="F1" t="s">
        <v>299</v>
      </c>
      <c r="G1" t="s">
        <v>78</v>
      </c>
    </row>
    <row r="2" spans="1:7" x14ac:dyDescent="0.2">
      <c r="A2">
        <v>1</v>
      </c>
      <c r="B2">
        <v>0</v>
      </c>
      <c r="C2" s="1">
        <v>0</v>
      </c>
      <c r="D2" s="1">
        <v>0</v>
      </c>
      <c r="E2" s="1">
        <v>0</v>
      </c>
      <c r="F2" t="s">
        <v>300</v>
      </c>
      <c r="G2" t="s">
        <v>301</v>
      </c>
    </row>
    <row r="3" spans="1:7" x14ac:dyDescent="0.2">
      <c r="A3">
        <v>2</v>
      </c>
      <c r="B3">
        <v>20</v>
      </c>
      <c r="C3" s="1">
        <v>0.08</v>
      </c>
      <c r="D3" s="1">
        <v>0.08</v>
      </c>
      <c r="E3" s="1">
        <v>0.06</v>
      </c>
      <c r="F3" t="s">
        <v>256</v>
      </c>
      <c r="G3" t="s">
        <v>302</v>
      </c>
    </row>
    <row r="4" spans="1:7" x14ac:dyDescent="0.2">
      <c r="A4">
        <v>3</v>
      </c>
      <c r="B4">
        <v>40</v>
      </c>
      <c r="C4" s="1">
        <v>0.1</v>
      </c>
      <c r="D4" s="1">
        <v>0.1</v>
      </c>
      <c r="E4" s="1">
        <v>0.08</v>
      </c>
      <c r="F4" t="s">
        <v>303</v>
      </c>
      <c r="G4" t="s">
        <v>304</v>
      </c>
    </row>
    <row r="5" spans="1:7" x14ac:dyDescent="0.2">
      <c r="A5">
        <v>4</v>
      </c>
      <c r="B5">
        <v>80</v>
      </c>
      <c r="C5" s="1">
        <v>0.08</v>
      </c>
      <c r="D5" s="1">
        <v>0.08</v>
      </c>
      <c r="E5" s="1">
        <v>0.06</v>
      </c>
      <c r="F5" t="s">
        <v>256</v>
      </c>
      <c r="G5" t="s">
        <v>305</v>
      </c>
    </row>
    <row r="6" spans="1:7" x14ac:dyDescent="0.2">
      <c r="A6">
        <v>5</v>
      </c>
      <c r="B6">
        <v>120</v>
      </c>
      <c r="C6" s="1">
        <v>0.1</v>
      </c>
      <c r="D6" s="1">
        <v>0.1</v>
      </c>
      <c r="E6" s="1">
        <v>0.08</v>
      </c>
      <c r="F6" t="s">
        <v>306</v>
      </c>
      <c r="G6" t="s">
        <v>307</v>
      </c>
    </row>
    <row r="7" spans="1:7" x14ac:dyDescent="0.2">
      <c r="A7">
        <v>6</v>
      </c>
      <c r="B7">
        <v>180</v>
      </c>
      <c r="C7" s="1">
        <v>0.06</v>
      </c>
      <c r="D7" s="1">
        <v>0.06</v>
      </c>
      <c r="E7" s="1">
        <v>0.05</v>
      </c>
      <c r="F7" t="s">
        <v>308</v>
      </c>
      <c r="G7" t="s">
        <v>309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A808F-06B0-4BE9-91B3-017319D52BCA}">
  <dimension ref="A1:J10"/>
  <sheetViews>
    <sheetView workbookViewId="0"/>
  </sheetViews>
  <sheetFormatPr defaultRowHeight="14.25" x14ac:dyDescent="0.2"/>
  <sheetData>
    <row r="1" spans="1:10" x14ac:dyDescent="0.2">
      <c r="A1" t="s">
        <v>69</v>
      </c>
      <c r="B1" t="s">
        <v>68</v>
      </c>
      <c r="C1" t="s">
        <v>38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</row>
    <row r="2" spans="1:10" x14ac:dyDescent="0.2">
      <c r="A2" t="s">
        <v>252</v>
      </c>
      <c r="B2" t="s">
        <v>104</v>
      </c>
      <c r="C2" t="s">
        <v>253</v>
      </c>
      <c r="D2" t="s">
        <v>254</v>
      </c>
      <c r="E2" t="s">
        <v>255</v>
      </c>
      <c r="F2" s="1">
        <v>1</v>
      </c>
      <c r="G2">
        <v>0</v>
      </c>
      <c r="H2">
        <v>0</v>
      </c>
      <c r="I2" t="s">
        <v>256</v>
      </c>
      <c r="J2" t="s">
        <v>257</v>
      </c>
    </row>
    <row r="3" spans="1:10" x14ac:dyDescent="0.2">
      <c r="A3" t="s">
        <v>81</v>
      </c>
      <c r="B3" t="s">
        <v>104</v>
      </c>
      <c r="C3" t="s">
        <v>258</v>
      </c>
      <c r="D3" t="s">
        <v>259</v>
      </c>
      <c r="E3" t="s">
        <v>260</v>
      </c>
      <c r="F3" s="1">
        <v>3.2</v>
      </c>
      <c r="G3">
        <v>100</v>
      </c>
      <c r="H3">
        <v>3</v>
      </c>
      <c r="I3" t="s">
        <v>261</v>
      </c>
      <c r="J3" t="s">
        <v>262</v>
      </c>
    </row>
    <row r="4" spans="1:10" x14ac:dyDescent="0.2">
      <c r="A4" t="s">
        <v>263</v>
      </c>
      <c r="B4" t="s">
        <v>104</v>
      </c>
      <c r="C4" t="s">
        <v>264</v>
      </c>
      <c r="D4" t="s">
        <v>265</v>
      </c>
      <c r="E4" t="s">
        <v>266</v>
      </c>
      <c r="F4" s="1">
        <v>0</v>
      </c>
      <c r="G4">
        <v>0</v>
      </c>
      <c r="H4">
        <v>0</v>
      </c>
      <c r="I4" t="s">
        <v>267</v>
      </c>
      <c r="J4" t="s">
        <v>268</v>
      </c>
    </row>
    <row r="5" spans="1:10" x14ac:dyDescent="0.2">
      <c r="A5" t="s">
        <v>269</v>
      </c>
      <c r="B5" t="s">
        <v>107</v>
      </c>
      <c r="C5" t="s">
        <v>270</v>
      </c>
      <c r="D5" t="s">
        <v>254</v>
      </c>
      <c r="E5" t="s">
        <v>255</v>
      </c>
      <c r="F5" s="1">
        <v>0.9</v>
      </c>
      <c r="G5">
        <v>0</v>
      </c>
      <c r="H5">
        <v>0</v>
      </c>
      <c r="I5" t="s">
        <v>271</v>
      </c>
      <c r="J5" t="s">
        <v>272</v>
      </c>
    </row>
    <row r="6" spans="1:10" x14ac:dyDescent="0.2">
      <c r="A6" t="s">
        <v>85</v>
      </c>
      <c r="B6" t="s">
        <v>107</v>
      </c>
      <c r="C6" t="s">
        <v>273</v>
      </c>
      <c r="D6" t="s">
        <v>259</v>
      </c>
      <c r="E6" t="s">
        <v>274</v>
      </c>
      <c r="F6" s="1">
        <v>1.45</v>
      </c>
      <c r="G6">
        <v>100</v>
      </c>
      <c r="H6">
        <v>3</v>
      </c>
      <c r="I6" t="s">
        <v>275</v>
      </c>
      <c r="J6" t="s">
        <v>276</v>
      </c>
    </row>
    <row r="7" spans="1:10" x14ac:dyDescent="0.2">
      <c r="A7" t="s">
        <v>277</v>
      </c>
      <c r="B7" t="s">
        <v>107</v>
      </c>
      <c r="C7" t="s">
        <v>278</v>
      </c>
      <c r="D7" t="s">
        <v>265</v>
      </c>
      <c r="E7" t="s">
        <v>279</v>
      </c>
      <c r="F7" s="1">
        <v>0.35</v>
      </c>
      <c r="G7">
        <v>0</v>
      </c>
      <c r="H7">
        <v>2</v>
      </c>
      <c r="I7" t="s">
        <v>280</v>
      </c>
      <c r="J7" t="s">
        <v>281</v>
      </c>
    </row>
    <row r="8" spans="1:10" x14ac:dyDescent="0.2">
      <c r="A8" t="s">
        <v>282</v>
      </c>
      <c r="B8" t="s">
        <v>108</v>
      </c>
      <c r="C8" t="s">
        <v>283</v>
      </c>
      <c r="D8" t="s">
        <v>254</v>
      </c>
      <c r="E8" t="s">
        <v>284</v>
      </c>
      <c r="F8" s="1">
        <v>0.7</v>
      </c>
      <c r="G8">
        <v>0</v>
      </c>
      <c r="H8">
        <v>0</v>
      </c>
      <c r="I8" t="s">
        <v>285</v>
      </c>
      <c r="J8" t="s">
        <v>286</v>
      </c>
    </row>
    <row r="9" spans="1:10" x14ac:dyDescent="0.2">
      <c r="A9" t="s">
        <v>89</v>
      </c>
      <c r="B9" t="s">
        <v>108</v>
      </c>
      <c r="C9" t="s">
        <v>287</v>
      </c>
      <c r="D9" t="s">
        <v>259</v>
      </c>
      <c r="E9" t="s">
        <v>288</v>
      </c>
      <c r="F9" s="1">
        <v>1.2</v>
      </c>
      <c r="G9">
        <v>100</v>
      </c>
      <c r="H9">
        <v>3</v>
      </c>
      <c r="I9" t="s">
        <v>289</v>
      </c>
      <c r="J9" t="s">
        <v>290</v>
      </c>
    </row>
    <row r="10" spans="1:10" x14ac:dyDescent="0.2">
      <c r="A10" t="s">
        <v>291</v>
      </c>
      <c r="B10" t="s">
        <v>108</v>
      </c>
      <c r="C10" t="s">
        <v>292</v>
      </c>
      <c r="D10" t="s">
        <v>265</v>
      </c>
      <c r="E10" t="s">
        <v>288</v>
      </c>
      <c r="F10" s="1">
        <v>0</v>
      </c>
      <c r="G10">
        <v>0</v>
      </c>
      <c r="H10">
        <v>0</v>
      </c>
      <c r="I10" t="s">
        <v>293</v>
      </c>
      <c r="J10" t="s">
        <v>294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97A1E-F273-439F-9436-333BD87D1620}">
  <dimension ref="A1:C27"/>
  <sheetViews>
    <sheetView workbookViewId="0"/>
  </sheetViews>
  <sheetFormatPr defaultRowHeight="14.25" x14ac:dyDescent="0.2"/>
  <sheetData>
    <row r="1" spans="1:3" x14ac:dyDescent="0.2">
      <c r="A1" t="s">
        <v>214</v>
      </c>
      <c r="B1" t="s">
        <v>45</v>
      </c>
      <c r="C1" t="s">
        <v>215</v>
      </c>
    </row>
    <row r="2" spans="1:3" x14ac:dyDescent="0.2">
      <c r="A2" t="s">
        <v>216</v>
      </c>
      <c r="B2">
        <v>1200</v>
      </c>
      <c r="C2" t="s">
        <v>217</v>
      </c>
    </row>
    <row r="3" spans="1:3" x14ac:dyDescent="0.2">
      <c r="A3" t="s">
        <v>71</v>
      </c>
      <c r="B3">
        <v>2.5</v>
      </c>
      <c r="C3" t="s">
        <v>218</v>
      </c>
    </row>
    <row r="4" spans="1:3" x14ac:dyDescent="0.2">
      <c r="A4" t="s">
        <v>23</v>
      </c>
      <c r="B4">
        <v>600</v>
      </c>
      <c r="C4" t="s">
        <v>217</v>
      </c>
    </row>
    <row r="5" spans="1:3" x14ac:dyDescent="0.2">
      <c r="A5" t="s">
        <v>73</v>
      </c>
      <c r="B5">
        <v>1200</v>
      </c>
      <c r="C5" t="s">
        <v>217</v>
      </c>
    </row>
    <row r="6" spans="1:3" x14ac:dyDescent="0.2">
      <c r="A6" t="s">
        <v>27</v>
      </c>
      <c r="B6" s="1">
        <v>0.3</v>
      </c>
      <c r="C6" t="s">
        <v>217</v>
      </c>
    </row>
    <row r="7" spans="1:3" x14ac:dyDescent="0.2">
      <c r="A7" t="s">
        <v>74</v>
      </c>
      <c r="B7" s="1">
        <v>0.5</v>
      </c>
      <c r="C7" t="s">
        <v>219</v>
      </c>
    </row>
    <row r="8" spans="1:3" x14ac:dyDescent="0.2">
      <c r="A8" t="s">
        <v>75</v>
      </c>
      <c r="B8" s="1">
        <v>0.2</v>
      </c>
      <c r="C8" t="s">
        <v>217</v>
      </c>
    </row>
    <row r="9" spans="1:3" x14ac:dyDescent="0.2">
      <c r="A9" t="s">
        <v>220</v>
      </c>
      <c r="B9" s="1">
        <v>0.1</v>
      </c>
      <c r="C9" t="s">
        <v>217</v>
      </c>
    </row>
    <row r="10" spans="1:3" x14ac:dyDescent="0.2">
      <c r="A10" t="s">
        <v>221</v>
      </c>
      <c r="B10" s="1">
        <v>0</v>
      </c>
      <c r="C10" t="s">
        <v>217</v>
      </c>
    </row>
    <row r="11" spans="1:3" x14ac:dyDescent="0.2">
      <c r="A11" t="s">
        <v>76</v>
      </c>
      <c r="B11" s="1">
        <v>0.15</v>
      </c>
      <c r="C11" t="s">
        <v>217</v>
      </c>
    </row>
    <row r="12" spans="1:3" x14ac:dyDescent="0.2">
      <c r="A12" t="s">
        <v>222</v>
      </c>
      <c r="B12">
        <v>50</v>
      </c>
      <c r="C12" t="s">
        <v>217</v>
      </c>
    </row>
    <row r="13" spans="1:3" x14ac:dyDescent="0.2">
      <c r="A13" t="s">
        <v>223</v>
      </c>
      <c r="B13">
        <v>45</v>
      </c>
      <c r="C13" t="s">
        <v>217</v>
      </c>
    </row>
    <row r="14" spans="1:3" x14ac:dyDescent="0.2">
      <c r="A14" t="s">
        <v>224</v>
      </c>
      <c r="B14">
        <f>1+MAX(MIN((B11-B12)*0.01,0.15),-0.15)</f>
        <v>0.85</v>
      </c>
      <c r="C14" t="s">
        <v>225</v>
      </c>
    </row>
    <row r="15" spans="1:3" x14ac:dyDescent="0.2">
      <c r="A15" t="s">
        <v>226</v>
      </c>
      <c r="B15" t="e">
        <f>B1*B2</f>
        <v>#VALUE!</v>
      </c>
      <c r="C15" t="s">
        <v>227</v>
      </c>
    </row>
    <row r="16" spans="1:3" x14ac:dyDescent="0.2">
      <c r="A16" t="s">
        <v>24</v>
      </c>
      <c r="B16">
        <f>B3/(B3+B4)</f>
        <v>4.1493775933609959E-3</v>
      </c>
      <c r="C16" t="s">
        <v>228</v>
      </c>
    </row>
    <row r="17" spans="1:3" x14ac:dyDescent="0.2">
      <c r="A17" t="s">
        <v>229</v>
      </c>
      <c r="B17" t="e">
        <f>B14*(1-B15)</f>
        <v>#VALUE!</v>
      </c>
      <c r="C17" t="s">
        <v>230</v>
      </c>
    </row>
    <row r="18" spans="1:3" x14ac:dyDescent="0.2">
      <c r="A18" t="s">
        <v>28</v>
      </c>
      <c r="B18">
        <f>1+B5*B6</f>
        <v>361</v>
      </c>
      <c r="C18" t="s">
        <v>231</v>
      </c>
    </row>
    <row r="19" spans="1:3" x14ac:dyDescent="0.2">
      <c r="A19" t="s">
        <v>232</v>
      </c>
      <c r="B19" s="1">
        <f>1+B7+B8+B9</f>
        <v>1.8</v>
      </c>
      <c r="C19" t="s">
        <v>233</v>
      </c>
    </row>
    <row r="20" spans="1:3" x14ac:dyDescent="0.2">
      <c r="A20" t="s">
        <v>234</v>
      </c>
      <c r="B20" s="1">
        <f>1-B10</f>
        <v>1</v>
      </c>
      <c r="C20" t="s">
        <v>235</v>
      </c>
    </row>
    <row r="21" spans="1:3" x14ac:dyDescent="0.2">
      <c r="A21" t="s">
        <v>39</v>
      </c>
      <c r="B21" t="e">
        <f>B16*B17*B18*B19*B13</f>
        <v>#VALUE!</v>
      </c>
      <c r="C21" t="s">
        <v>236</v>
      </c>
    </row>
    <row r="22" spans="1:3" x14ac:dyDescent="0.2">
      <c r="A22" t="s">
        <v>237</v>
      </c>
      <c r="B22">
        <v>1.8</v>
      </c>
      <c r="C22" t="s">
        <v>217</v>
      </c>
    </row>
    <row r="23" spans="1:3" x14ac:dyDescent="0.2">
      <c r="A23" t="s">
        <v>238</v>
      </c>
      <c r="B23" s="1">
        <v>0.2</v>
      </c>
      <c r="C23" t="s">
        <v>217</v>
      </c>
    </row>
    <row r="24" spans="1:3" x14ac:dyDescent="0.2">
      <c r="A24" t="s">
        <v>239</v>
      </c>
      <c r="B24" t="e">
        <f>B1*B21*(1+B22)</f>
        <v>#VALUE!</v>
      </c>
      <c r="C24" t="s">
        <v>240</v>
      </c>
    </row>
    <row r="25" spans="1:3" x14ac:dyDescent="0.2">
      <c r="A25" t="s">
        <v>241</v>
      </c>
      <c r="B25">
        <v>1.5</v>
      </c>
      <c r="C25" t="s">
        <v>217</v>
      </c>
    </row>
    <row r="26" spans="1:3" x14ac:dyDescent="0.2">
      <c r="A26" t="s">
        <v>242</v>
      </c>
      <c r="B26" s="1">
        <v>0.1</v>
      </c>
      <c r="C26" t="s">
        <v>217</v>
      </c>
    </row>
    <row r="27" spans="1:3" x14ac:dyDescent="0.2">
      <c r="A27" t="s">
        <v>243</v>
      </c>
      <c r="B27" t="e">
        <f>B1*B24*(1+B25)</f>
        <v>#VALUE!</v>
      </c>
      <c r="C27" t="s">
        <v>244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62C7B-2BC3-4B91-9CE9-8960BE32C7DE}">
  <dimension ref="A1:J8"/>
  <sheetViews>
    <sheetView workbookViewId="0">
      <selection activeCell="N28" sqref="N28"/>
    </sheetView>
  </sheetViews>
  <sheetFormatPr defaultRowHeight="14.25" x14ac:dyDescent="0.2"/>
  <sheetData>
    <row r="1" spans="1:10" x14ac:dyDescent="0.2">
      <c r="A1" t="s">
        <v>17</v>
      </c>
      <c r="B1" t="s">
        <v>189</v>
      </c>
      <c r="C1" t="s">
        <v>190</v>
      </c>
      <c r="D1" t="s">
        <v>9</v>
      </c>
      <c r="E1" t="s">
        <v>191</v>
      </c>
      <c r="F1" t="s">
        <v>192</v>
      </c>
      <c r="G1" t="s">
        <v>193</v>
      </c>
      <c r="H1" t="s">
        <v>194</v>
      </c>
      <c r="I1" t="s">
        <v>195</v>
      </c>
      <c r="J1" t="s">
        <v>5</v>
      </c>
    </row>
    <row r="2" spans="1:10" x14ac:dyDescent="0.2">
      <c r="A2" t="s">
        <v>196</v>
      </c>
      <c r="B2" s="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197</v>
      </c>
    </row>
    <row r="3" spans="1:10" x14ac:dyDescent="0.2">
      <c r="A3" t="s">
        <v>198</v>
      </c>
      <c r="B3" s="3" t="s">
        <v>360</v>
      </c>
      <c r="C3">
        <v>10</v>
      </c>
      <c r="D3">
        <v>12000</v>
      </c>
      <c r="E3">
        <v>3000</v>
      </c>
      <c r="F3">
        <v>0</v>
      </c>
      <c r="G3">
        <v>2</v>
      </c>
      <c r="H3">
        <v>0</v>
      </c>
      <c r="I3">
        <v>10</v>
      </c>
      <c r="J3" t="s">
        <v>199</v>
      </c>
    </row>
    <row r="4" spans="1:10" x14ac:dyDescent="0.2">
      <c r="A4" t="s">
        <v>200</v>
      </c>
      <c r="B4" s="3" t="s">
        <v>361</v>
      </c>
      <c r="C4">
        <v>20</v>
      </c>
      <c r="D4">
        <v>55000</v>
      </c>
      <c r="E4">
        <v>12000</v>
      </c>
      <c r="F4">
        <v>5</v>
      </c>
      <c r="G4">
        <v>5</v>
      </c>
      <c r="H4">
        <v>0</v>
      </c>
      <c r="I4">
        <v>30</v>
      </c>
      <c r="J4" t="s">
        <v>201</v>
      </c>
    </row>
    <row r="5" spans="1:10" x14ac:dyDescent="0.2">
      <c r="A5" t="s">
        <v>202</v>
      </c>
      <c r="B5" s="3" t="s">
        <v>203</v>
      </c>
      <c r="C5">
        <v>30</v>
      </c>
      <c r="D5">
        <v>120000</v>
      </c>
      <c r="E5">
        <v>35000</v>
      </c>
      <c r="F5">
        <v>15</v>
      </c>
      <c r="G5">
        <v>12</v>
      </c>
      <c r="H5">
        <v>20</v>
      </c>
      <c r="I5">
        <v>80</v>
      </c>
      <c r="J5" t="s">
        <v>204</v>
      </c>
    </row>
    <row r="6" spans="1:10" x14ac:dyDescent="0.2">
      <c r="A6" t="s">
        <v>205</v>
      </c>
      <c r="B6" s="3" t="s">
        <v>206</v>
      </c>
      <c r="C6">
        <v>40</v>
      </c>
      <c r="D6">
        <v>220000</v>
      </c>
      <c r="E6">
        <v>90000</v>
      </c>
      <c r="F6">
        <v>35</v>
      </c>
      <c r="G6">
        <v>25</v>
      </c>
      <c r="H6">
        <v>40</v>
      </c>
      <c r="I6">
        <v>160</v>
      </c>
      <c r="J6" t="s">
        <v>207</v>
      </c>
    </row>
    <row r="7" spans="1:10" x14ac:dyDescent="0.2">
      <c r="A7" t="s">
        <v>208</v>
      </c>
      <c r="B7" s="3" t="s">
        <v>209</v>
      </c>
      <c r="C7">
        <v>50</v>
      </c>
      <c r="D7">
        <v>360000</v>
      </c>
      <c r="E7">
        <v>210000</v>
      </c>
      <c r="F7">
        <v>50</v>
      </c>
      <c r="G7">
        <v>45</v>
      </c>
      <c r="H7">
        <v>80</v>
      </c>
      <c r="I7">
        <v>320</v>
      </c>
      <c r="J7" t="s">
        <v>210</v>
      </c>
    </row>
    <row r="8" spans="1:10" x14ac:dyDescent="0.2">
      <c r="A8" t="s">
        <v>211</v>
      </c>
      <c r="B8" s="3" t="s">
        <v>212</v>
      </c>
      <c r="C8">
        <v>60</v>
      </c>
      <c r="D8">
        <v>520000</v>
      </c>
      <c r="E8">
        <v>480000</v>
      </c>
      <c r="F8">
        <v>60</v>
      </c>
      <c r="G8">
        <v>80</v>
      </c>
      <c r="H8">
        <v>120</v>
      </c>
      <c r="I8">
        <v>600</v>
      </c>
      <c r="J8" t="s">
        <v>213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E3D10-E786-4ACC-8BB0-15C27C84096A}">
  <dimension ref="A1:K6"/>
  <sheetViews>
    <sheetView workbookViewId="0">
      <selection activeCell="P21" sqref="P21"/>
    </sheetView>
  </sheetViews>
  <sheetFormatPr defaultRowHeight="14.25" x14ac:dyDescent="0.2"/>
  <sheetData>
    <row r="1" spans="1:11" x14ac:dyDescent="0.2">
      <c r="A1" t="s">
        <v>32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  <c r="K1" t="s">
        <v>173</v>
      </c>
    </row>
    <row r="2" spans="1:11" x14ac:dyDescent="0.2">
      <c r="A2" t="s">
        <v>174</v>
      </c>
      <c r="B2">
        <v>120000</v>
      </c>
      <c r="C2" t="s">
        <v>175</v>
      </c>
      <c r="D2">
        <v>95</v>
      </c>
      <c r="E2">
        <v>55</v>
      </c>
      <c r="F2">
        <v>40</v>
      </c>
      <c r="G2">
        <v>30</v>
      </c>
      <c r="H2">
        <v>70</v>
      </c>
      <c r="I2">
        <v>80</v>
      </c>
      <c r="J2">
        <f>D2*0.3+E2*0.25+F2*0.15+G2*0.15+H2*0.1+I2*0.05</f>
        <v>63.75</v>
      </c>
      <c r="K2" t="s">
        <v>176</v>
      </c>
    </row>
    <row r="3" spans="1:11" x14ac:dyDescent="0.2">
      <c r="A3" t="s">
        <v>177</v>
      </c>
      <c r="B3">
        <v>115000</v>
      </c>
      <c r="C3" t="s">
        <v>178</v>
      </c>
      <c r="D3">
        <v>55</v>
      </c>
      <c r="E3">
        <v>95</v>
      </c>
      <c r="F3">
        <v>45</v>
      </c>
      <c r="G3">
        <v>90</v>
      </c>
      <c r="H3">
        <v>50</v>
      </c>
      <c r="I3">
        <v>70</v>
      </c>
      <c r="J3">
        <f>D3*0.3+E3*0.25+F3*0.15+G3*0.15+H3*0.1+I3*0.05</f>
        <v>69</v>
      </c>
      <c r="K3" t="s">
        <v>179</v>
      </c>
    </row>
    <row r="4" spans="1:11" x14ac:dyDescent="0.2">
      <c r="A4" t="s">
        <v>180</v>
      </c>
      <c r="B4">
        <v>110000</v>
      </c>
      <c r="C4" t="s">
        <v>181</v>
      </c>
      <c r="D4">
        <v>65</v>
      </c>
      <c r="E4">
        <v>60</v>
      </c>
      <c r="F4">
        <v>95</v>
      </c>
      <c r="G4">
        <v>45</v>
      </c>
      <c r="H4">
        <v>75</v>
      </c>
      <c r="I4">
        <v>85</v>
      </c>
      <c r="J4">
        <f>D4*0.3+E4*0.25+F4*0.15+G4*0.15+H4*0.1+I4*0.05</f>
        <v>67.25</v>
      </c>
      <c r="K4" t="s">
        <v>182</v>
      </c>
    </row>
    <row r="5" spans="1:11" x14ac:dyDescent="0.2">
      <c r="A5" t="s">
        <v>183</v>
      </c>
      <c r="B5">
        <v>108000</v>
      </c>
      <c r="C5" t="s">
        <v>184</v>
      </c>
      <c r="D5">
        <v>80</v>
      </c>
      <c r="E5">
        <v>70</v>
      </c>
      <c r="F5">
        <v>50</v>
      </c>
      <c r="G5">
        <v>60</v>
      </c>
      <c r="H5">
        <v>65</v>
      </c>
      <c r="I5">
        <v>90</v>
      </c>
      <c r="J5">
        <f>D5*0.3+E5*0.25+F5*0.15+G5*0.15+H5*0.1+I5*0.05</f>
        <v>69</v>
      </c>
      <c r="K5" t="s">
        <v>185</v>
      </c>
    </row>
    <row r="6" spans="1:11" x14ac:dyDescent="0.2">
      <c r="A6" t="s">
        <v>186</v>
      </c>
      <c r="B6">
        <v>118000</v>
      </c>
      <c r="C6" t="s">
        <v>187</v>
      </c>
      <c r="D6">
        <v>75</v>
      </c>
      <c r="E6">
        <v>75</v>
      </c>
      <c r="F6">
        <v>65</v>
      </c>
      <c r="G6">
        <v>65</v>
      </c>
      <c r="H6">
        <v>65</v>
      </c>
      <c r="I6">
        <v>75</v>
      </c>
      <c r="J6">
        <f>D6*0.3+E6*0.25+F6*0.15+G6*0.15+H6*0.1+I6*0.05</f>
        <v>71</v>
      </c>
      <c r="K6" t="s">
        <v>188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FE607-3717-4EDD-9429-4BC8FFEDC571}">
  <dimension ref="A1:E11"/>
  <sheetViews>
    <sheetView workbookViewId="0"/>
  </sheetViews>
  <sheetFormatPr defaultRowHeight="14.25" x14ac:dyDescent="0.2"/>
  <sheetData>
    <row r="1" spans="1:5" x14ac:dyDescent="0.2">
      <c r="A1" t="s">
        <v>109</v>
      </c>
      <c r="B1" t="s">
        <v>110</v>
      </c>
      <c r="C1" t="s">
        <v>111</v>
      </c>
      <c r="D1" t="s">
        <v>112</v>
      </c>
      <c r="E1" t="s">
        <v>113</v>
      </c>
    </row>
    <row r="2" spans="1:5" x14ac:dyDescent="0.2">
      <c r="A2" t="s">
        <v>114</v>
      </c>
      <c r="B2" t="s">
        <v>115</v>
      </c>
      <c r="C2" t="s">
        <v>116</v>
      </c>
      <c r="D2" t="s">
        <v>117</v>
      </c>
      <c r="E2" t="s">
        <v>118</v>
      </c>
    </row>
    <row r="3" spans="1:5" x14ac:dyDescent="0.2">
      <c r="A3" t="s">
        <v>119</v>
      </c>
      <c r="B3" t="s">
        <v>120</v>
      </c>
      <c r="C3" t="s">
        <v>121</v>
      </c>
      <c r="D3" t="s">
        <v>122</v>
      </c>
      <c r="E3" t="s">
        <v>123</v>
      </c>
    </row>
    <row r="4" spans="1:5" x14ac:dyDescent="0.2">
      <c r="A4" t="s">
        <v>124</v>
      </c>
      <c r="B4" t="s">
        <v>125</v>
      </c>
      <c r="C4" t="s">
        <v>126</v>
      </c>
      <c r="D4" t="s">
        <v>127</v>
      </c>
      <c r="E4" t="s">
        <v>128</v>
      </c>
    </row>
    <row r="5" spans="1:5" x14ac:dyDescent="0.2">
      <c r="A5" t="s">
        <v>129</v>
      </c>
      <c r="B5" t="s">
        <v>130</v>
      </c>
      <c r="C5" t="s">
        <v>131</v>
      </c>
      <c r="D5" t="s">
        <v>132</v>
      </c>
      <c r="E5" t="s">
        <v>133</v>
      </c>
    </row>
    <row r="6" spans="1:5" x14ac:dyDescent="0.2">
      <c r="A6" t="s">
        <v>134</v>
      </c>
      <c r="B6" t="s">
        <v>135</v>
      </c>
      <c r="C6" t="s">
        <v>136</v>
      </c>
      <c r="D6" t="s">
        <v>137</v>
      </c>
      <c r="E6" t="s">
        <v>138</v>
      </c>
    </row>
    <row r="7" spans="1:5" x14ac:dyDescent="0.2">
      <c r="A7" t="s">
        <v>139</v>
      </c>
      <c r="B7" t="s">
        <v>140</v>
      </c>
      <c r="C7" t="s">
        <v>141</v>
      </c>
      <c r="D7" t="s">
        <v>142</v>
      </c>
      <c r="E7" t="s">
        <v>143</v>
      </c>
    </row>
    <row r="8" spans="1:5" x14ac:dyDescent="0.2">
      <c r="A8" t="s">
        <v>144</v>
      </c>
      <c r="B8" t="s">
        <v>145</v>
      </c>
      <c r="C8" t="s">
        <v>146</v>
      </c>
      <c r="D8" t="s">
        <v>147</v>
      </c>
      <c r="E8" t="s">
        <v>148</v>
      </c>
    </row>
    <row r="9" spans="1:5" x14ac:dyDescent="0.2">
      <c r="A9" t="s">
        <v>149</v>
      </c>
      <c r="B9" t="s">
        <v>150</v>
      </c>
      <c r="C9" t="s">
        <v>151</v>
      </c>
      <c r="D9" t="s">
        <v>152</v>
      </c>
      <c r="E9" t="s">
        <v>153</v>
      </c>
    </row>
    <row r="10" spans="1:5" x14ac:dyDescent="0.2">
      <c r="A10" t="s">
        <v>154</v>
      </c>
      <c r="B10" t="s">
        <v>155</v>
      </c>
      <c r="C10" t="s">
        <v>156</v>
      </c>
      <c r="D10" t="s">
        <v>157</v>
      </c>
      <c r="E10" t="s">
        <v>158</v>
      </c>
    </row>
    <row r="11" spans="1:5" x14ac:dyDescent="0.2">
      <c r="A11" t="s">
        <v>159</v>
      </c>
      <c r="B11" t="s">
        <v>160</v>
      </c>
      <c r="C11" t="s">
        <v>161</v>
      </c>
      <c r="D11" t="s">
        <v>162</v>
      </c>
      <c r="E11" t="s">
        <v>163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49A39-3B54-4AB9-8DB5-0139A246B916}">
  <dimension ref="A1:Q5"/>
  <sheetViews>
    <sheetView workbookViewId="0"/>
  </sheetViews>
  <sheetFormatPr defaultRowHeight="14.25" x14ac:dyDescent="0.2"/>
  <sheetData>
    <row r="1" spans="1:17" x14ac:dyDescent="0.2">
      <c r="A1" t="s">
        <v>67</v>
      </c>
      <c r="B1" t="s">
        <v>68</v>
      </c>
      <c r="C1" t="s">
        <v>91</v>
      </c>
      <c r="D1" t="s">
        <v>8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13</v>
      </c>
      <c r="K1" t="s">
        <v>97</v>
      </c>
      <c r="L1" t="s">
        <v>98</v>
      </c>
      <c r="M1" t="s">
        <v>99</v>
      </c>
      <c r="N1" t="s">
        <v>100</v>
      </c>
      <c r="O1" t="s">
        <v>101</v>
      </c>
      <c r="P1" t="s">
        <v>70</v>
      </c>
      <c r="Q1" t="s">
        <v>102</v>
      </c>
    </row>
    <row r="2" spans="1:17" x14ac:dyDescent="0.2">
      <c r="A2" t="s">
        <v>103</v>
      </c>
      <c r="B2" t="s">
        <v>104</v>
      </c>
      <c r="C2" t="str">
        <f>_xlfn.XLOOKUP(B2,'01_Characters'!$A:$A,'01_Characters'!$C:$C)</f>
        <v>Serin, Crimson Blade</v>
      </c>
      <c r="D2">
        <v>20</v>
      </c>
      <c r="E2">
        <v>3</v>
      </c>
      <c r="F2" t="s">
        <v>105</v>
      </c>
      <c r="G2">
        <f>_xlfn.XLOOKUP(B2,'01_Characters'!$A:$A,'01_Characters'!$H:$H)</f>
        <v>900</v>
      </c>
      <c r="H2">
        <f>_xlfn.XLOOKUP(B2,'01_Characters'!$A:$A,'01_Characters'!$I:$I)</f>
        <v>140</v>
      </c>
      <c r="I2">
        <f>_xlfn.XLOOKUP(B2,'01_Characters'!$A:$A,'01_Characters'!$J:$J)</f>
        <v>45</v>
      </c>
      <c r="J2">
        <f>_xlfn.XLOOKUP(D2,'02_Growth_Curve'!$A:$A,'02_Growth_Curve'!$D:$D)</f>
        <v>2.29</v>
      </c>
      <c r="K2">
        <f>_xlfn.XLOOKUP(E2,'04_Star_System'!$A:$A,'04_Star_System'!$C:$C)</f>
        <v>0.1</v>
      </c>
      <c r="L2">
        <f>_xlfn.XLOOKUP(E2,'04_Star_System'!$A:$A,'04_Star_System'!$D:$D)</f>
        <v>0.1</v>
      </c>
      <c r="M2">
        <f>_xlfn.XLOOKUP(E2,'04_Star_System'!$A:$A,'04_Star_System'!$E:$E)</f>
        <v>0.08</v>
      </c>
      <c r="N2">
        <f>_xlfn.XLOOKUP(F2,'03_Breakthrough'!$A:$A,'03_Breakthrough'!$G:$G)</f>
        <v>0.05</v>
      </c>
      <c r="O2">
        <f>ROUND(G2*J2*(1+L2+N2),0)</f>
        <v>2370</v>
      </c>
      <c r="P2">
        <f>ROUND(H2*J2*(1+K2+N2),0)</f>
        <v>369</v>
      </c>
      <c r="Q2">
        <f>ROUND(I2*J2*(1+M2+N2),0)</f>
        <v>116</v>
      </c>
    </row>
    <row r="3" spans="1:17" x14ac:dyDescent="0.2">
      <c r="A3" t="s">
        <v>80</v>
      </c>
      <c r="B3" t="s">
        <v>104</v>
      </c>
      <c r="C3" t="str">
        <f>_xlfn.XLOOKUP(B3,'01_Characters'!$A:$A,'01_Characters'!$C:$C)</f>
        <v>Serin, Crimson Blade</v>
      </c>
      <c r="D3">
        <v>60</v>
      </c>
      <c r="E3">
        <v>5</v>
      </c>
      <c r="F3" t="s">
        <v>106</v>
      </c>
      <c r="G3">
        <f>_xlfn.XLOOKUP(B3,'01_Characters'!$A:$A,'01_Characters'!$H:$H)</f>
        <v>900</v>
      </c>
      <c r="H3">
        <f>_xlfn.XLOOKUP(B3,'01_Characters'!$A:$A,'01_Characters'!$I:$I)</f>
        <v>140</v>
      </c>
      <c r="I3">
        <f>_xlfn.XLOOKUP(B3,'01_Characters'!$A:$A,'01_Characters'!$J:$J)</f>
        <v>45</v>
      </c>
      <c r="J3">
        <f>_xlfn.XLOOKUP(D3,'02_Growth_Curve'!$A:$A,'02_Growth_Curve'!$D:$D)</f>
        <v>5</v>
      </c>
      <c r="K3">
        <f>_xlfn.XLOOKUP(E3,'04_Star_System'!$A:$A,'04_Star_System'!$C:$C)</f>
        <v>0.1</v>
      </c>
      <c r="L3">
        <f>_xlfn.XLOOKUP(E3,'04_Star_System'!$A:$A,'04_Star_System'!$D:$D)</f>
        <v>0.1</v>
      </c>
      <c r="M3">
        <f>_xlfn.XLOOKUP(E3,'04_Star_System'!$A:$A,'04_Star_System'!$E:$E)</f>
        <v>0.08</v>
      </c>
      <c r="N3">
        <f>_xlfn.XLOOKUP(F3,'03_Breakthrough'!$A:$A,'03_Breakthrough'!$G:$G)</f>
        <v>0.15</v>
      </c>
      <c r="O3">
        <f>ROUND(G3*J3*(1+L3+N3),0)</f>
        <v>5625</v>
      </c>
      <c r="P3">
        <f>ROUND(H3*J3*(1+K3+N3),0)</f>
        <v>875</v>
      </c>
      <c r="Q3">
        <f>ROUND(I3*J3*(1+M3+N3),0)</f>
        <v>277</v>
      </c>
    </row>
    <row r="4" spans="1:17" x14ac:dyDescent="0.2">
      <c r="A4" t="s">
        <v>84</v>
      </c>
      <c r="B4" t="s">
        <v>107</v>
      </c>
      <c r="C4" t="str">
        <f>_xlfn.XLOOKUP(B4,'01_Characters'!$A:$A,'01_Characters'!$C:$C)</f>
        <v>Mia, Star Ring Mage</v>
      </c>
      <c r="D4">
        <v>60</v>
      </c>
      <c r="E4">
        <v>5</v>
      </c>
      <c r="F4" t="s">
        <v>106</v>
      </c>
      <c r="G4">
        <f>_xlfn.XLOOKUP(B4,'01_Characters'!$A:$A,'01_Characters'!$H:$H)</f>
        <v>760</v>
      </c>
      <c r="H4">
        <f>_xlfn.XLOOKUP(B4,'01_Characters'!$A:$A,'01_Characters'!$I:$I)</f>
        <v>155</v>
      </c>
      <c r="I4">
        <f>_xlfn.XLOOKUP(B4,'01_Characters'!$A:$A,'01_Characters'!$J:$J)</f>
        <v>35</v>
      </c>
      <c r="J4">
        <f>_xlfn.XLOOKUP(D4,'02_Growth_Curve'!$A:$A,'02_Growth_Curve'!$D:$D)</f>
        <v>5</v>
      </c>
      <c r="K4">
        <f>_xlfn.XLOOKUP(E4,'04_Star_System'!$A:$A,'04_Star_System'!$C:$C)</f>
        <v>0.1</v>
      </c>
      <c r="L4">
        <f>_xlfn.XLOOKUP(E4,'04_Star_System'!$A:$A,'04_Star_System'!$D:$D)</f>
        <v>0.1</v>
      </c>
      <c r="M4">
        <f>_xlfn.XLOOKUP(E4,'04_Star_System'!$A:$A,'04_Star_System'!$E:$E)</f>
        <v>0.08</v>
      </c>
      <c r="N4">
        <f>_xlfn.XLOOKUP(F4,'03_Breakthrough'!$A:$A,'03_Breakthrough'!$G:$G)</f>
        <v>0.15</v>
      </c>
      <c r="O4">
        <f>ROUND(G4*J4*(1+L4+N4),0)</f>
        <v>4750</v>
      </c>
      <c r="P4">
        <f>ROUND(H4*J4*(1+K4+N4),0)</f>
        <v>969</v>
      </c>
      <c r="Q4">
        <f>ROUND(I4*J4*(1+M4+N4),0)</f>
        <v>215</v>
      </c>
    </row>
    <row r="5" spans="1:17" x14ac:dyDescent="0.2">
      <c r="A5" t="s">
        <v>88</v>
      </c>
      <c r="B5" t="s">
        <v>108</v>
      </c>
      <c r="C5" t="str">
        <f>_xlfn.XLOOKUP(B5,'01_Characters'!$A:$A,'01_Characters'!$C:$C)</f>
        <v>Noa, White Feather Priest</v>
      </c>
      <c r="D5">
        <v>60</v>
      </c>
      <c r="E5">
        <v>5</v>
      </c>
      <c r="F5" t="s">
        <v>106</v>
      </c>
      <c r="G5">
        <f>_xlfn.XLOOKUP(B5,'01_Characters'!$A:$A,'01_Characters'!$H:$H)</f>
        <v>1000</v>
      </c>
      <c r="H5">
        <f>_xlfn.XLOOKUP(B5,'01_Characters'!$A:$A,'01_Characters'!$I:$I)</f>
        <v>100</v>
      </c>
      <c r="I5">
        <f>_xlfn.XLOOKUP(B5,'01_Characters'!$A:$A,'01_Characters'!$J:$J)</f>
        <v>50</v>
      </c>
      <c r="J5">
        <f>_xlfn.XLOOKUP(D5,'02_Growth_Curve'!$A:$A,'02_Growth_Curve'!$D:$D)</f>
        <v>5</v>
      </c>
      <c r="K5">
        <f>_xlfn.XLOOKUP(E5,'04_Star_System'!$A:$A,'04_Star_System'!$C:$C)</f>
        <v>0.1</v>
      </c>
      <c r="L5">
        <f>_xlfn.XLOOKUP(E5,'04_Star_System'!$A:$A,'04_Star_System'!$D:$D)</f>
        <v>0.1</v>
      </c>
      <c r="M5">
        <f>_xlfn.XLOOKUP(E5,'04_Star_System'!$A:$A,'04_Star_System'!$E:$E)</f>
        <v>0.08</v>
      </c>
      <c r="N5">
        <f>_xlfn.XLOOKUP(F5,'03_Breakthrough'!$A:$A,'03_Breakthrough'!$G:$G)</f>
        <v>0.15</v>
      </c>
      <c r="O5">
        <f>ROUND(G5*J5*(1+L5+N5),0)</f>
        <v>6250</v>
      </c>
      <c r="P5">
        <f>ROUND(H5*J5*(1+K5+N5),0)</f>
        <v>625</v>
      </c>
      <c r="Q5">
        <f>ROUND(I5*J5*(1+M5+N5),0)</f>
        <v>308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AF123-D8F6-4C77-9A96-68D2387D603A}">
  <dimension ref="A1:P4"/>
  <sheetViews>
    <sheetView workbookViewId="0">
      <selection activeCell="E1" sqref="E1:O4"/>
    </sheetView>
  </sheetViews>
  <sheetFormatPr defaultRowHeight="14.25" x14ac:dyDescent="0.2"/>
  <sheetData>
    <row r="1" spans="1:16" x14ac:dyDescent="0.2">
      <c r="A1" t="s">
        <v>66</v>
      </c>
      <c r="B1" t="s">
        <v>67</v>
      </c>
      <c r="C1" t="s">
        <v>68</v>
      </c>
      <c r="D1" t="s">
        <v>69</v>
      </c>
      <c r="E1" t="s">
        <v>38</v>
      </c>
      <c r="F1" t="s">
        <v>70</v>
      </c>
      <c r="G1" t="s">
        <v>71</v>
      </c>
      <c r="H1" t="s">
        <v>72</v>
      </c>
      <c r="I1" t="s">
        <v>73</v>
      </c>
      <c r="J1" t="s">
        <v>27</v>
      </c>
      <c r="K1" t="s">
        <v>74</v>
      </c>
      <c r="L1" t="s">
        <v>75</v>
      </c>
      <c r="M1" t="s">
        <v>76</v>
      </c>
      <c r="N1" t="s">
        <v>39</v>
      </c>
      <c r="O1" t="s">
        <v>77</v>
      </c>
      <c r="P1" t="s">
        <v>78</v>
      </c>
    </row>
    <row r="2" spans="1:16" x14ac:dyDescent="0.2">
      <c r="A2" t="s">
        <v>79</v>
      </c>
      <c r="B2" t="s">
        <v>80</v>
      </c>
      <c r="C2" t="str">
        <f>_xlfn.XLOOKUP(B2,'10_Character_Stats'!$A:$A,'10_Character_Stats'!$B:$B)</f>
        <v>C001</v>
      </c>
      <c r="D2" t="s">
        <v>81</v>
      </c>
      <c r="E2" t="str">
        <f>_xlfn.XLOOKUP(D2,'05_Skills'!$A:$A,'05_Skills'!$C:$C)</f>
        <v>Crimson Execute</v>
      </c>
      <c r="F2">
        <f>_xlfn.XLOOKUP(B2,'10_Character_Stats'!$A:$A,'10_Character_Stats'!$P:$P)</f>
        <v>875</v>
      </c>
      <c r="G2">
        <f>_xlfn.XLOOKUP(D2,'05_Skills'!$A:$A,'05_Skills'!$F:$F)</f>
        <v>3.2</v>
      </c>
      <c r="H2">
        <v>600</v>
      </c>
      <c r="I2">
        <v>1200</v>
      </c>
      <c r="J2" s="1">
        <v>0.3</v>
      </c>
      <c r="K2" s="1">
        <v>0.5</v>
      </c>
      <c r="L2" s="1">
        <v>0.2</v>
      </c>
      <c r="M2" s="1">
        <v>0.15</v>
      </c>
      <c r="N2">
        <f>ROUND(F2*G2*(1-H2/(H2+I2))*(1+J2*K2)*(1+L2)*(1-M2),0)</f>
        <v>2190</v>
      </c>
      <c r="O2">
        <f>ROUND(N2/_xlfn.XLOOKUP(D2,'05_Skills'!$A:$A,'05_Skills'!$G:$G),2)</f>
        <v>21.9</v>
      </c>
      <c r="P2" t="s">
        <v>82</v>
      </c>
    </row>
    <row r="3" spans="1:16" x14ac:dyDescent="0.2">
      <c r="A3" t="s">
        <v>83</v>
      </c>
      <c r="B3" t="s">
        <v>84</v>
      </c>
      <c r="C3" t="str">
        <f>_xlfn.XLOOKUP(B3,'10_Character_Stats'!$A:$A,'10_Character_Stats'!$B:$B)</f>
        <v>C002</v>
      </c>
      <c r="D3" t="s">
        <v>85</v>
      </c>
      <c r="E3" t="str">
        <f>_xlfn.XLOOKUP(D3,'05_Skills'!$A:$A,'05_Skills'!$C:$C)</f>
        <v>Star Ring Burst</v>
      </c>
      <c r="F3">
        <f>_xlfn.XLOOKUP(B3,'10_Character_Stats'!$A:$A,'10_Character_Stats'!$P:$P)</f>
        <v>969</v>
      </c>
      <c r="G3">
        <f>_xlfn.XLOOKUP(D3,'05_Skills'!$A:$A,'05_Skills'!$F:$F)</f>
        <v>1.45</v>
      </c>
      <c r="H3">
        <v>600</v>
      </c>
      <c r="I3">
        <v>1200</v>
      </c>
      <c r="J3" s="1">
        <v>0.18</v>
      </c>
      <c r="K3" s="1">
        <v>0.5</v>
      </c>
      <c r="L3" s="1">
        <v>0.22</v>
      </c>
      <c r="M3" s="1">
        <v>0.15</v>
      </c>
      <c r="N3">
        <f>ROUND(F3*G3*(1-H3/(H3+I3))*(1+J3*K3)*(1+L3)*(1-M3),0)</f>
        <v>1059</v>
      </c>
      <c r="O3">
        <f>ROUND(N3/_xlfn.XLOOKUP(D3,'05_Skills'!$A:$A,'05_Skills'!$G:$G),2)</f>
        <v>10.59</v>
      </c>
      <c r="P3" t="s">
        <v>86</v>
      </c>
    </row>
    <row r="4" spans="1:16" x14ac:dyDescent="0.2">
      <c r="A4" t="s">
        <v>87</v>
      </c>
      <c r="B4" t="s">
        <v>88</v>
      </c>
      <c r="C4" t="str">
        <f>_xlfn.XLOOKUP(B4,'10_Character_Stats'!$A:$A,'10_Character_Stats'!$B:$B)</f>
        <v>C003</v>
      </c>
      <c r="D4" t="s">
        <v>89</v>
      </c>
      <c r="E4" t="str">
        <f>_xlfn.XLOOKUP(D4,'05_Skills'!$A:$A,'05_Skills'!$C:$C)</f>
        <v>Holy Protection</v>
      </c>
      <c r="F4">
        <f>_xlfn.XLOOKUP(B4,'10_Character_Stats'!$A:$A,'10_Character_Stats'!$P:$P)</f>
        <v>625</v>
      </c>
      <c r="G4">
        <f>_xlfn.XLOOKUP(D4,'05_Skills'!$A:$A,'05_Skills'!$F:$F)</f>
        <v>1.2</v>
      </c>
      <c r="H4">
        <v>600</v>
      </c>
      <c r="I4">
        <v>1200</v>
      </c>
      <c r="J4" s="1">
        <v>0.05</v>
      </c>
      <c r="K4" s="1">
        <v>0.5</v>
      </c>
      <c r="L4" s="1">
        <v>0</v>
      </c>
      <c r="M4" s="1">
        <v>0.15</v>
      </c>
      <c r="N4">
        <f>ROUND(F4*G4*(1-H4/(H4+I4))*(1+J4*K4)*(1+L4)*(1-M4),0)</f>
        <v>436</v>
      </c>
      <c r="O4">
        <f>ROUND(N4/_xlfn.XLOOKUP(D4,'05_Skills'!$A:$A,'05_Skills'!$G:$G),2)</f>
        <v>4.3600000000000003</v>
      </c>
      <c r="P4" t="s">
        <v>90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7A82-020C-4655-8C01-82F2CA681931}">
  <dimension ref="A1:C11"/>
  <sheetViews>
    <sheetView tabSelected="1" workbookViewId="0">
      <selection sqref="A1:B10"/>
    </sheetView>
  </sheetViews>
  <sheetFormatPr defaultRowHeight="14.25" x14ac:dyDescent="0.2"/>
  <sheetData>
    <row r="1" spans="1:3" x14ac:dyDescent="0.2">
      <c r="A1" t="s">
        <v>44</v>
      </c>
      <c r="B1" t="s">
        <v>45</v>
      </c>
      <c r="C1" t="s">
        <v>48</v>
      </c>
    </row>
    <row r="2" spans="1:3" x14ac:dyDescent="0.2">
      <c r="A2" t="s">
        <v>49</v>
      </c>
      <c r="B2">
        <f>_xlfn.XLOOKUP(60,'02_Growth_Curve'!$A:$A,'02_Growth_Curve'!$C:$C)</f>
        <v>520000</v>
      </c>
      <c r="C2" t="s">
        <v>50</v>
      </c>
    </row>
    <row r="3" spans="1:3" x14ac:dyDescent="0.2">
      <c r="A3" t="s">
        <v>51</v>
      </c>
      <c r="B3">
        <f>SUM('07_Resource_Cost'!$E:$E)</f>
        <v>830000</v>
      </c>
      <c r="C3" t="s">
        <v>52</v>
      </c>
    </row>
    <row r="4" spans="1:3" x14ac:dyDescent="0.2">
      <c r="A4" t="s">
        <v>53</v>
      </c>
      <c r="B4">
        <f>SUM('07_Resource_Cost'!$F:$F)</f>
        <v>165</v>
      </c>
      <c r="C4" t="s">
        <v>52</v>
      </c>
    </row>
    <row r="5" spans="1:3" x14ac:dyDescent="0.2">
      <c r="A5" t="s">
        <v>54</v>
      </c>
      <c r="B5">
        <f>SUM('07_Resource_Cost'!$G:$G)</f>
        <v>169</v>
      </c>
      <c r="C5" t="s">
        <v>52</v>
      </c>
    </row>
    <row r="6" spans="1:3" x14ac:dyDescent="0.2">
      <c r="A6" t="s">
        <v>55</v>
      </c>
      <c r="B6">
        <f>SUM('07_Resource_Cost'!$H:$H)</f>
        <v>260</v>
      </c>
      <c r="C6" t="s">
        <v>52</v>
      </c>
    </row>
    <row r="7" spans="1:3" x14ac:dyDescent="0.2">
      <c r="A7" t="s">
        <v>56</v>
      </c>
      <c r="B7">
        <f>SUM('07_Resource_Cost'!$I:$I)</f>
        <v>1200</v>
      </c>
      <c r="C7" t="s">
        <v>52</v>
      </c>
    </row>
    <row r="8" spans="1:3" x14ac:dyDescent="0.2">
      <c r="A8" t="s">
        <v>57</v>
      </c>
      <c r="B8">
        <f>SUMIFS('07_Resource_Cost'!$E:$E,'07_Resource_Cost'!$A:$A,"Early*")</f>
        <v>15000</v>
      </c>
      <c r="C8" t="s">
        <v>58</v>
      </c>
    </row>
    <row r="9" spans="1:3" x14ac:dyDescent="0.2">
      <c r="A9" t="s">
        <v>59</v>
      </c>
      <c r="B9">
        <f>SUMIFS('07_Resource_Cost'!$E:$E,'07_Resource_Cost'!$A:$A,"Mid*")</f>
        <v>125000</v>
      </c>
      <c r="C9" t="s">
        <v>60</v>
      </c>
    </row>
    <row r="10" spans="1:3" x14ac:dyDescent="0.2">
      <c r="A10" t="s">
        <v>61</v>
      </c>
      <c r="B10">
        <f>SUMIFS('07_Resource_Cost'!$E:$E,'07_Resource_Cost'!$A:$A,"Late*")</f>
        <v>690000</v>
      </c>
      <c r="C10" t="s">
        <v>62</v>
      </c>
    </row>
    <row r="11" spans="1:3" x14ac:dyDescent="0.2">
      <c r="A11" t="s">
        <v>63</v>
      </c>
      <c r="B11" t="s">
        <v>64</v>
      </c>
      <c r="C11" t="s">
        <v>65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D27A8-F35E-443A-849B-E6F322E9EA1F}">
  <dimension ref="A1:F9"/>
  <sheetViews>
    <sheetView workbookViewId="0"/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7</v>
      </c>
      <c r="C3" t="s">
        <v>8</v>
      </c>
      <c r="D3" t="s">
        <v>13</v>
      </c>
      <c r="E3" t="s">
        <v>10</v>
      </c>
      <c r="F3" t="s">
        <v>14</v>
      </c>
    </row>
    <row r="4" spans="1:6" x14ac:dyDescent="0.2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">
      <c r="A5" t="s">
        <v>21</v>
      </c>
      <c r="B5" t="s">
        <v>22</v>
      </c>
      <c r="C5" t="s">
        <v>23</v>
      </c>
      <c r="D5" t="s">
        <v>24</v>
      </c>
      <c r="E5" t="s">
        <v>10</v>
      </c>
      <c r="F5" t="s">
        <v>25</v>
      </c>
    </row>
    <row r="6" spans="1:6" x14ac:dyDescent="0.2">
      <c r="A6" t="s">
        <v>26</v>
      </c>
      <c r="B6" t="s">
        <v>22</v>
      </c>
      <c r="C6" t="s">
        <v>27</v>
      </c>
      <c r="D6" t="s">
        <v>28</v>
      </c>
      <c r="E6" t="s">
        <v>10</v>
      </c>
      <c r="F6" t="s">
        <v>29</v>
      </c>
    </row>
    <row r="7" spans="1:6" x14ac:dyDescent="0.2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2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</row>
    <row r="9" spans="1:6" x14ac:dyDescent="0.2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0E19C-8F1A-4D6C-9ADD-C76DAF5D6FC6}">
  <dimension ref="A1:N38"/>
  <sheetViews>
    <sheetView workbookViewId="0"/>
  </sheetViews>
  <sheetFormatPr defaultRowHeight="14.25" x14ac:dyDescent="0.2"/>
  <cols>
    <col min="13" max="13" width="11.875" customWidth="1"/>
  </cols>
  <sheetData>
    <row r="1" spans="1:14" ht="28.5" x14ac:dyDescent="0.2">
      <c r="A1" t="s">
        <v>17</v>
      </c>
      <c r="B1" t="s">
        <v>191</v>
      </c>
      <c r="C1" t="s">
        <v>193</v>
      </c>
      <c r="D1" t="s">
        <v>194</v>
      </c>
      <c r="E1" t="s">
        <v>195</v>
      </c>
      <c r="F1" t="s">
        <v>362</v>
      </c>
      <c r="G1" t="s">
        <v>363</v>
      </c>
      <c r="H1" t="s">
        <v>364</v>
      </c>
      <c r="I1" t="s">
        <v>365</v>
      </c>
      <c r="J1" t="s">
        <v>366</v>
      </c>
      <c r="M1" s="4" t="s">
        <v>367</v>
      </c>
      <c r="N1" s="4" t="s">
        <v>368</v>
      </c>
    </row>
    <row r="2" spans="1:14" x14ac:dyDescent="0.2">
      <c r="A2" t="s">
        <v>198</v>
      </c>
      <c r="B2">
        <v>3000</v>
      </c>
      <c r="C2">
        <v>2</v>
      </c>
      <c r="D2">
        <v>0</v>
      </c>
      <c r="E2">
        <v>10</v>
      </c>
      <c r="F2">
        <f>B2/50000</f>
        <v>0.06</v>
      </c>
      <c r="G2">
        <f>C2/8</f>
        <v>0.25</v>
      </c>
      <c r="H2">
        <f>D2/10</f>
        <v>0</v>
      </c>
      <c r="I2">
        <f>E2/80</f>
        <v>0.125</v>
      </c>
      <c r="J2">
        <f>SUM(F2:I2)</f>
        <v>0.435</v>
      </c>
      <c r="M2" s="5" t="s">
        <v>369</v>
      </c>
      <c r="N2" s="5" t="s">
        <v>370</v>
      </c>
    </row>
    <row r="3" spans="1:14" x14ac:dyDescent="0.2">
      <c r="A3" t="s">
        <v>200</v>
      </c>
      <c r="B3">
        <v>12000</v>
      </c>
      <c r="C3">
        <v>5</v>
      </c>
      <c r="D3">
        <v>0</v>
      </c>
      <c r="E3">
        <v>30</v>
      </c>
      <c r="F3">
        <f>B3/50000</f>
        <v>0.24</v>
      </c>
      <c r="G3">
        <f>C3/8</f>
        <v>0.625</v>
      </c>
      <c r="H3">
        <f>D3/10</f>
        <v>0</v>
      </c>
      <c r="I3">
        <f>E3/80</f>
        <v>0.375</v>
      </c>
      <c r="J3">
        <f>SUM(F3:I3)</f>
        <v>1.24</v>
      </c>
      <c r="M3" s="5" t="s">
        <v>191</v>
      </c>
      <c r="N3" s="5">
        <v>50000</v>
      </c>
    </row>
    <row r="4" spans="1:14" ht="28.5" x14ac:dyDescent="0.2">
      <c r="A4" t="s">
        <v>202</v>
      </c>
      <c r="B4">
        <v>35000</v>
      </c>
      <c r="C4">
        <v>12</v>
      </c>
      <c r="D4">
        <v>20</v>
      </c>
      <c r="E4">
        <v>80</v>
      </c>
      <c r="F4">
        <f>B4/50000</f>
        <v>0.7</v>
      </c>
      <c r="G4">
        <f>C4/8</f>
        <v>1.5</v>
      </c>
      <c r="H4">
        <f>D4/10</f>
        <v>2</v>
      </c>
      <c r="I4">
        <f>E4/80</f>
        <v>1</v>
      </c>
      <c r="J4">
        <f>SUM(F4:I4)</f>
        <v>5.2</v>
      </c>
      <c r="M4" s="5" t="s">
        <v>193</v>
      </c>
      <c r="N4" s="5">
        <v>8</v>
      </c>
    </row>
    <row r="5" spans="1:14" x14ac:dyDescent="0.2">
      <c r="A5" t="s">
        <v>205</v>
      </c>
      <c r="B5">
        <v>90000</v>
      </c>
      <c r="C5">
        <v>25</v>
      </c>
      <c r="D5">
        <v>40</v>
      </c>
      <c r="E5">
        <v>160</v>
      </c>
      <c r="F5">
        <f>B5/50000</f>
        <v>1.8</v>
      </c>
      <c r="G5">
        <f>C5/8</f>
        <v>3.125</v>
      </c>
      <c r="H5">
        <f>D5/10</f>
        <v>4</v>
      </c>
      <c r="I5">
        <f>E5/80</f>
        <v>2</v>
      </c>
      <c r="J5">
        <f>SUM(F5:I5)</f>
        <v>10.925000000000001</v>
      </c>
      <c r="M5" s="5" t="s">
        <v>194</v>
      </c>
      <c r="N5" s="5">
        <v>10</v>
      </c>
    </row>
    <row r="6" spans="1:14" ht="42.75" x14ac:dyDescent="0.2">
      <c r="A6" t="s">
        <v>208</v>
      </c>
      <c r="B6">
        <v>210000</v>
      </c>
      <c r="C6">
        <v>45</v>
      </c>
      <c r="D6">
        <v>80</v>
      </c>
      <c r="E6">
        <v>320</v>
      </c>
      <c r="F6">
        <f>B6/50000</f>
        <v>4.2</v>
      </c>
      <c r="G6">
        <f>C6/8</f>
        <v>5.625</v>
      </c>
      <c r="H6">
        <f>D6/10</f>
        <v>8</v>
      </c>
      <c r="I6">
        <f>E6/80</f>
        <v>4</v>
      </c>
      <c r="J6">
        <f>SUM(F6:I6)</f>
        <v>21.824999999999999</v>
      </c>
      <c r="M6" s="5" t="s">
        <v>195</v>
      </c>
      <c r="N6" s="5">
        <v>80</v>
      </c>
    </row>
    <row r="7" spans="1:14" x14ac:dyDescent="0.2">
      <c r="A7" t="s">
        <v>211</v>
      </c>
      <c r="B7">
        <v>480000</v>
      </c>
      <c r="C7">
        <v>80</v>
      </c>
      <c r="D7">
        <v>120</v>
      </c>
      <c r="E7">
        <v>600</v>
      </c>
      <c r="F7">
        <f>B7/50000</f>
        <v>9.6</v>
      </c>
      <c r="G7">
        <f>C7/8</f>
        <v>10</v>
      </c>
      <c r="H7">
        <f>D7/10</f>
        <v>12</v>
      </c>
      <c r="I7">
        <f>E7/80</f>
        <v>7.5</v>
      </c>
      <c r="J7">
        <f>SUM(F7:I7)</f>
        <v>39.1</v>
      </c>
    </row>
    <row r="12" spans="1:14" x14ac:dyDescent="0.2">
      <c r="A12" t="s">
        <v>23</v>
      </c>
      <c r="B12" t="s">
        <v>24</v>
      </c>
    </row>
    <row r="13" spans="1:14" x14ac:dyDescent="0.2">
      <c r="A13">
        <v>0</v>
      </c>
      <c r="B13" s="6">
        <f xml:space="preserve"> A13 / (A13 + 1200)</f>
        <v>0</v>
      </c>
    </row>
    <row r="14" spans="1:14" x14ac:dyDescent="0.2">
      <c r="A14">
        <v>200</v>
      </c>
      <c r="B14" s="6">
        <f t="shared" ref="B14:B24" si="0" xml:space="preserve"> A14 / (A14 + 1200)</f>
        <v>0.14285714285714285</v>
      </c>
    </row>
    <row r="15" spans="1:14" x14ac:dyDescent="0.2">
      <c r="A15">
        <v>400</v>
      </c>
      <c r="B15" s="6">
        <f t="shared" si="0"/>
        <v>0.25</v>
      </c>
    </row>
    <row r="16" spans="1:14" x14ac:dyDescent="0.2">
      <c r="A16">
        <v>600</v>
      </c>
      <c r="B16" s="6">
        <f t="shared" si="0"/>
        <v>0.33333333333333331</v>
      </c>
    </row>
    <row r="17" spans="1:4" x14ac:dyDescent="0.2">
      <c r="A17">
        <v>800</v>
      </c>
      <c r="B17" s="6">
        <f t="shared" si="0"/>
        <v>0.4</v>
      </c>
    </row>
    <row r="18" spans="1:4" x14ac:dyDescent="0.2">
      <c r="A18">
        <v>1000</v>
      </c>
      <c r="B18" s="6">
        <f t="shared" si="0"/>
        <v>0.45454545454545453</v>
      </c>
    </row>
    <row r="19" spans="1:4" x14ac:dyDescent="0.2">
      <c r="A19">
        <v>1200</v>
      </c>
      <c r="B19" s="6">
        <f t="shared" si="0"/>
        <v>0.5</v>
      </c>
    </row>
    <row r="20" spans="1:4" x14ac:dyDescent="0.2">
      <c r="A20">
        <v>1600</v>
      </c>
      <c r="B20" s="6">
        <f t="shared" si="0"/>
        <v>0.5714285714285714</v>
      </c>
    </row>
    <row r="21" spans="1:4" x14ac:dyDescent="0.2">
      <c r="A21">
        <v>2000</v>
      </c>
      <c r="B21" s="6">
        <f t="shared" si="0"/>
        <v>0.625</v>
      </c>
    </row>
    <row r="22" spans="1:4" x14ac:dyDescent="0.2">
      <c r="A22">
        <v>2400</v>
      </c>
      <c r="B22" s="6">
        <f t="shared" si="0"/>
        <v>0.66666666666666663</v>
      </c>
    </row>
    <row r="23" spans="1:4" x14ac:dyDescent="0.2">
      <c r="A23">
        <v>3000</v>
      </c>
      <c r="B23" s="6">
        <f t="shared" si="0"/>
        <v>0.7142857142857143</v>
      </c>
    </row>
    <row r="24" spans="1:4" x14ac:dyDescent="0.2">
      <c r="A24">
        <v>4000</v>
      </c>
      <c r="B24" s="6">
        <f t="shared" si="0"/>
        <v>0.76923076923076927</v>
      </c>
    </row>
    <row r="27" spans="1:4" x14ac:dyDescent="0.2">
      <c r="A27" t="s">
        <v>27</v>
      </c>
      <c r="B27" t="s">
        <v>373</v>
      </c>
      <c r="C27" t="s">
        <v>371</v>
      </c>
      <c r="D27" t="s">
        <v>372</v>
      </c>
    </row>
    <row r="28" spans="1:4" x14ac:dyDescent="0.2">
      <c r="A28" s="1">
        <v>0</v>
      </c>
      <c r="B28" s="1">
        <f>1+$A28*50%</f>
        <v>1</v>
      </c>
      <c r="C28" s="1">
        <f>1+$A28*80%</f>
        <v>1</v>
      </c>
      <c r="D28" s="1">
        <f>1+$A28*100%</f>
        <v>1</v>
      </c>
    </row>
    <row r="29" spans="1:4" x14ac:dyDescent="0.2">
      <c r="A29" s="1">
        <v>0.1</v>
      </c>
      <c r="B29" s="1">
        <f t="shared" ref="B29:B38" si="1">1+$A29*50%</f>
        <v>1.05</v>
      </c>
      <c r="C29" s="1">
        <f t="shared" ref="C29:C38" si="2">1+$A29*80%</f>
        <v>1.08</v>
      </c>
      <c r="D29" s="1">
        <f t="shared" ref="D29:D38" si="3">1+$A29*100%</f>
        <v>1.1000000000000001</v>
      </c>
    </row>
    <row r="30" spans="1:4" x14ac:dyDescent="0.2">
      <c r="A30" s="1">
        <v>0.2</v>
      </c>
      <c r="B30" s="1">
        <f t="shared" si="1"/>
        <v>1.1000000000000001</v>
      </c>
      <c r="C30" s="1">
        <f t="shared" si="2"/>
        <v>1.1600000000000001</v>
      </c>
      <c r="D30" s="1">
        <f t="shared" si="3"/>
        <v>1.2</v>
      </c>
    </row>
    <row r="31" spans="1:4" x14ac:dyDescent="0.2">
      <c r="A31" s="1">
        <v>0.3</v>
      </c>
      <c r="B31" s="1">
        <f t="shared" si="1"/>
        <v>1.1499999999999999</v>
      </c>
      <c r="C31" s="1">
        <f t="shared" si="2"/>
        <v>1.24</v>
      </c>
      <c r="D31" s="1">
        <f t="shared" si="3"/>
        <v>1.3</v>
      </c>
    </row>
    <row r="32" spans="1:4" x14ac:dyDescent="0.2">
      <c r="A32" s="1">
        <v>0.4</v>
      </c>
      <c r="B32" s="1">
        <f t="shared" si="1"/>
        <v>1.2</v>
      </c>
      <c r="C32" s="1">
        <f t="shared" si="2"/>
        <v>1.32</v>
      </c>
      <c r="D32" s="1">
        <f t="shared" si="3"/>
        <v>1.4</v>
      </c>
    </row>
    <row r="33" spans="1:4" x14ac:dyDescent="0.2">
      <c r="A33" s="1">
        <v>0.5</v>
      </c>
      <c r="B33" s="1">
        <f t="shared" si="1"/>
        <v>1.25</v>
      </c>
      <c r="C33" s="1">
        <f t="shared" si="2"/>
        <v>1.4</v>
      </c>
      <c r="D33" s="1">
        <f t="shared" si="3"/>
        <v>1.5</v>
      </c>
    </row>
    <row r="34" spans="1:4" x14ac:dyDescent="0.2">
      <c r="A34" s="1">
        <v>0.6</v>
      </c>
      <c r="B34" s="1">
        <f t="shared" si="1"/>
        <v>1.3</v>
      </c>
      <c r="C34" s="1">
        <f t="shared" si="2"/>
        <v>1.48</v>
      </c>
      <c r="D34" s="1">
        <f t="shared" si="3"/>
        <v>1.6</v>
      </c>
    </row>
    <row r="35" spans="1:4" x14ac:dyDescent="0.2">
      <c r="A35" s="1">
        <v>0.7</v>
      </c>
      <c r="B35" s="1">
        <f t="shared" si="1"/>
        <v>1.35</v>
      </c>
      <c r="C35" s="1">
        <f t="shared" si="2"/>
        <v>1.56</v>
      </c>
      <c r="D35" s="1">
        <f t="shared" si="3"/>
        <v>1.7</v>
      </c>
    </row>
    <row r="36" spans="1:4" x14ac:dyDescent="0.2">
      <c r="A36" s="1">
        <v>0.8</v>
      </c>
      <c r="B36" s="1">
        <f t="shared" si="1"/>
        <v>1.4</v>
      </c>
      <c r="C36" s="1">
        <f t="shared" si="2"/>
        <v>1.6400000000000001</v>
      </c>
      <c r="D36" s="1">
        <f t="shared" si="3"/>
        <v>1.8</v>
      </c>
    </row>
    <row r="37" spans="1:4" x14ac:dyDescent="0.2">
      <c r="A37" s="1">
        <v>0.9</v>
      </c>
      <c r="B37" s="1">
        <f t="shared" si="1"/>
        <v>1.45</v>
      </c>
      <c r="C37" s="1">
        <f t="shared" si="2"/>
        <v>1.7200000000000002</v>
      </c>
      <c r="D37" s="1">
        <f t="shared" si="3"/>
        <v>1.9</v>
      </c>
    </row>
    <row r="38" spans="1:4" x14ac:dyDescent="0.2">
      <c r="A38" s="1">
        <v>1</v>
      </c>
      <c r="B38" s="1">
        <f t="shared" si="1"/>
        <v>1.5</v>
      </c>
      <c r="C38" s="1">
        <f t="shared" si="2"/>
        <v>1.8</v>
      </c>
      <c r="D38" s="1">
        <f t="shared" si="3"/>
        <v>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01_Characters</vt:lpstr>
      <vt:lpstr>02_Growth_Curve</vt:lpstr>
      <vt:lpstr>03_Breakthrough</vt:lpstr>
      <vt:lpstr>04_Star_System</vt:lpstr>
      <vt:lpstr>05_Skills</vt:lpstr>
      <vt:lpstr>06_Combat_Calculator</vt:lpstr>
      <vt:lpstr>07_Resource_Cost</vt:lpstr>
      <vt:lpstr>08_Team_Evaluation</vt:lpstr>
      <vt:lpstr>09_Risk_Checklist</vt:lpstr>
      <vt:lpstr>10_Character_Stats</vt:lpstr>
      <vt:lpstr>11_Damage_Test</vt:lpstr>
      <vt:lpstr>12_Resource_Dashboard</vt:lpstr>
      <vt:lpstr>13_Charts_Index</vt:lpstr>
      <vt:lpstr>14_Charts_Workspace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 Chen</dc:creator>
  <cp:lastModifiedBy>Howard Chen</cp:lastModifiedBy>
  <dcterms:created xsi:type="dcterms:W3CDTF">2026-05-29T07:21:05Z</dcterms:created>
  <dcterms:modified xsi:type="dcterms:W3CDTF">2026-05-29T09:29:50Z</dcterms:modified>
</cp:coreProperties>
</file>